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checkCompatibility="1"/>
  <mc:AlternateContent xmlns:mc="http://schemas.openxmlformats.org/markup-compatibility/2006">
    <mc:Choice Requires="x15">
      <x15ac:absPath xmlns:x15ac="http://schemas.microsoft.com/office/spreadsheetml/2010/11/ac" url="C:\Users\MuellerL15\306-G1-Piloter_un_robot_phidget_a_distance\documentation\"/>
    </mc:Choice>
  </mc:AlternateContent>
  <xr:revisionPtr revIDLastSave="0" documentId="13_ncr:1_{7E66D3DF-B8AE-4630-AD3F-E372A7603AC0}" xr6:coauthVersionLast="47" xr6:coauthVersionMax="47" xr10:uidLastSave="{00000000-0000-0000-0000-000000000000}"/>
  <bookViews>
    <workbookView xWindow="-120" yWindow="-120" windowWidth="29040" windowHeight="15720" xr2:uid="{00000000-000D-0000-FFFF-FFFF00000000}"/>
  </bookViews>
  <sheets>
    <sheet name="Journal_Luuk_Müller" sheetId="11" r:id="rId1"/>
  </sheets>
  <definedNames>
    <definedName name="_xlnm._FilterDatabase" localSheetId="0" hidden="1">Journal_Luuk_Müller!$A$5:$HI$5</definedName>
    <definedName name="_xlnm.Print_Area" localSheetId="0">Journal_Luuk_Müller!$A$1:$D$83</definedName>
    <definedName name="_xlnm.Print_Titles" localSheetId="0">Journal_Luuk_Müller!$B:$D,Journal_Luuk_Müller!$1:$5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81" i="11" l="1"/>
  <c r="D74" i="11"/>
  <c r="D67" i="11"/>
  <c r="D60" i="11"/>
  <c r="D53" i="11"/>
  <c r="D46" i="11"/>
  <c r="D39" i="11"/>
  <c r="D32" i="11"/>
  <c r="D25" i="11"/>
  <c r="D18" i="11"/>
  <c r="D11" i="11"/>
  <c r="D83" i="11" l="1"/>
</calcChain>
</file>

<file path=xl/sharedStrings.xml><?xml version="1.0" encoding="utf-8"?>
<sst xmlns="http://schemas.openxmlformats.org/spreadsheetml/2006/main" count="52" uniqueCount="31">
  <si>
    <t>Insérer les lignes au-dessus de celle-ci !</t>
  </si>
  <si>
    <t>Date</t>
  </si>
  <si>
    <t>Travail effectué</t>
  </si>
  <si>
    <t>[H.h]</t>
  </si>
  <si>
    <t>Temps</t>
  </si>
  <si>
    <t>Total &gt;</t>
  </si>
  <si>
    <r>
      <t xml:space="preserve">Réflexion personnelle </t>
    </r>
    <r>
      <rPr>
        <sz val="8"/>
        <rFont val="Calibri"/>
        <family val="2"/>
      </rPr>
      <t>↓↓↓</t>
    </r>
  </si>
  <si>
    <t>Total général &gt;</t>
  </si>
  <si>
    <t>Luuk Müller</t>
  </si>
  <si>
    <r>
      <t>Projet :</t>
    </r>
    <r>
      <rPr>
        <b/>
        <sz val="14"/>
        <rFont val="Arial"/>
        <family val="2"/>
      </rPr>
      <t xml:space="preserve"> Piloter un robot phidget à distance</t>
    </r>
    <r>
      <rPr>
        <sz val="14"/>
        <rFont val="Arial"/>
        <family val="2"/>
      </rPr>
      <t xml:space="preserve">      </t>
    </r>
    <r>
      <rPr>
        <sz val="16"/>
        <rFont val="Arial"/>
        <family val="2"/>
      </rPr>
      <t xml:space="preserve">                      </t>
    </r>
  </si>
  <si>
    <t>Cahier des charges</t>
  </si>
  <si>
    <t>Inspection du materiel</t>
  </si>
  <si>
    <t xml:space="preserve">J'ai longtemps travaillé sur le cahier des charges jusqu'à ce que, après une longue réflexion collective, nous l'ayons finalisé. J'ai alors commencé à examiner le matériel de plus près afin de comprendre comment nous pourrions et allions l'utiliser plus tard dans le projet.
</t>
  </si>
  <si>
    <t>Connectivité de la manette</t>
  </si>
  <si>
    <t>User Stories</t>
  </si>
  <si>
    <t>Fonctionnalités du phidget.</t>
  </si>
  <si>
    <t>Aujourd'hui, je me suis d'abord occupé de la connexion des contrôleurs et j'ai appris à vérifier systématiquement les problèmes techniques. Ensuite, j'ai rédigé de brefs récits d'utilisateurs afin de documenter clairement les exigences. L'après-midi, j'ai testé les fonctions du Phidget et j'ai mieux compris comment le matériel et les logiciels fonctionnent ensemble. Dans l'ensemble, cette journée m'a montré à quel point il est important de prendre en compte à la fois les aspects techniques et organisationnels.</t>
  </si>
  <si>
    <t>Mise à jour du kanban</t>
  </si>
  <si>
    <t>Developpement du Frontend</t>
  </si>
  <si>
    <t>Finaliser le kanban</t>
  </si>
  <si>
    <t>Refactorisation du code en MVC</t>
  </si>
  <si>
    <t>Fait des tests de robot</t>
  </si>
  <si>
    <t>Aujourd'hui, j'ai commencé par mettre à jour le Kanban, ce qui m'a permis de mieux visualiser l'avancement des tâches et de prioriser ce qui restait à faire. Ensuite, j'ai travaillé sur le développement du frontend, en implémentant de nouvelles fonctionnalités et en ajustant l'interface pour la rendre plus intuitive.</t>
  </si>
  <si>
    <t>Aujourd'hui, j'ai commencé à corriger et à améliorer le kanban et le product backlog, ce qui m'a montré à quel point il est important d'avoir un kanban pour ne jamais perdre de vue le projet et toujours savoir sur quoi on travaille afin de savoir quoi faire dans les moments stressants. L'après-midi, j'ai principalement travaillé sur le frontend, où nous avons rencontré des problèmes pendant la journée, mais que nous avons finalement pu résoudre avec une autre page html temporaire. Au cours de la journée, j'ai effectué des tests pendant environ 30 minutes, qui nous ont apporté des informations importantes sur la fonctionnalité de l'application.</t>
  </si>
  <si>
    <t>Développement de la page pour conduire le rover au clavier</t>
  </si>
  <si>
    <t>Dévélopper la page du clavier</t>
  </si>
  <si>
    <t>Fait la page pour choisir entre clavier et manette</t>
  </si>
  <si>
    <t>Merge entre dashboard et le reste</t>
  </si>
  <si>
    <t>Dévélopper la page de le manette</t>
  </si>
  <si>
    <t>Aujourd'hui, j'ai créé un site web permettant de contrôler le rover via le clavier. Cela m'a pris pas mal de temps, car j'ai dû attribuer un identifiant à chaque élément dans les fichiers HTML. Après quelques ajustements, tout fonctionne désormais correctement et le rover répond parfaitement aux commandes du clavier.</t>
  </si>
  <si>
    <t>Aujourd'hui, j'ai bien avancé sur la création des pages de contrôle pour le rover. J'ai réussi à implémenter les deux options de contrôle, et l'intégration entre le tableau de bord et les autres pages s'est bien passée. Le plus gros défi a été de m'assurer que l'interface soit fluide et intuitive, surtout avec la gestion des choix entre clavier et manette. Tout fonctionne comme prévu, mais je dois encore tester certaines interactions pour être sûr de la stabilité.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</si>
</sst>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
    <numFmt numFmtId="165" formatCode="0.0"/>
  </numFmts>
  <fonts count="11" x14ac:knownFonts="1">
    <font>
      <sz val="10"/>
      <name val="Arial"/>
    </font>
    <font>
      <b/>
      <sz val="10"/>
      <name val="Arial"/>
      <family val="2"/>
    </font>
    <font>
      <b/>
      <sz val="14"/>
      <name val="Arial"/>
      <family val="2"/>
    </font>
    <font>
      <sz val="10"/>
      <color rgb="FFFF0000"/>
      <name val="Arial"/>
      <family val="2"/>
    </font>
    <font>
      <sz val="8"/>
      <name val="Arial"/>
      <family val="2"/>
    </font>
    <font>
      <sz val="16"/>
      <name val="Arial"/>
      <family val="2"/>
    </font>
    <font>
      <sz val="14"/>
      <name val="Arial"/>
      <family val="2"/>
    </font>
    <font>
      <b/>
      <sz val="16"/>
      <name val="Arial"/>
      <family val="2"/>
    </font>
    <font>
      <sz val="9"/>
      <name val="Arial"/>
      <family val="2"/>
    </font>
    <font>
      <sz val="8"/>
      <name val="Calibri"/>
      <family val="2"/>
    </font>
    <font>
      <b/>
      <sz val="8"/>
      <name val="Arial"/>
      <family val="2"/>
    </font>
  </fonts>
  <fills count="4">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top style="medium">
        <color indexed="64"/>
      </top>
      <bottom/>
      <diagonal/>
    </border>
    <border>
      <left style="thin">
        <color indexed="64"/>
      </left>
      <right/>
      <top/>
      <bottom style="medium">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medium">
        <color indexed="64"/>
      </top>
      <bottom/>
      <diagonal/>
    </border>
    <border>
      <left/>
      <right style="thin">
        <color indexed="64"/>
      </right>
      <top/>
      <bottom style="medium">
        <color indexed="64"/>
      </bottom>
      <diagonal/>
    </border>
    <border>
      <left/>
      <right style="thin">
        <color indexed="64"/>
      </right>
      <top/>
      <bottom style="thin">
        <color indexed="64"/>
      </bottom>
      <diagonal/>
    </border>
    <border>
      <left/>
      <right style="thin">
        <color indexed="64"/>
      </right>
      <top style="thin">
        <color indexed="64"/>
      </top>
      <bottom/>
      <diagonal/>
    </border>
    <border>
      <left/>
      <right/>
      <top/>
      <bottom style="thin">
        <color indexed="64"/>
      </bottom>
      <diagonal/>
    </border>
  </borders>
  <cellStyleXfs count="1">
    <xf numFmtId="0" fontId="0" fillId="0" borderId="0"/>
  </cellStyleXfs>
  <cellXfs count="37">
    <xf numFmtId="0" fontId="0" fillId="0" borderId="0" xfId="0"/>
    <xf numFmtId="0" fontId="0" fillId="0" borderId="0" xfId="0" applyProtection="1">
      <protection locked="0"/>
    </xf>
    <xf numFmtId="0" fontId="4" fillId="3" borderId="10" xfId="0" applyFont="1" applyFill="1" applyBorder="1" applyAlignment="1" applyProtection="1">
      <alignment horizontal="left" vertical="center"/>
      <protection locked="0"/>
    </xf>
    <xf numFmtId="0" fontId="4" fillId="3" borderId="16" xfId="0" applyFont="1" applyFill="1" applyBorder="1" applyAlignment="1" applyProtection="1">
      <alignment horizontal="right" vertical="center"/>
      <protection locked="0"/>
    </xf>
    <xf numFmtId="0" fontId="6" fillId="0" borderId="1" xfId="0" applyFont="1" applyBorder="1" applyAlignment="1" applyProtection="1">
      <alignment horizontal="left"/>
      <protection locked="0"/>
    </xf>
    <xf numFmtId="0" fontId="1" fillId="0" borderId="7" xfId="0" applyFont="1" applyBorder="1" applyAlignment="1" applyProtection="1">
      <alignment horizontal="center"/>
      <protection locked="0"/>
    </xf>
    <xf numFmtId="0" fontId="8" fillId="0" borderId="4" xfId="0" applyFont="1" applyBorder="1" applyAlignment="1" applyProtection="1">
      <alignment horizontal="center"/>
      <protection locked="0"/>
    </xf>
    <xf numFmtId="165" fontId="4" fillId="0" borderId="7" xfId="0" applyNumberFormat="1" applyFont="1" applyBorder="1" applyAlignment="1" applyProtection="1">
      <alignment horizontal="center" vertical="center"/>
      <protection locked="0"/>
    </xf>
    <xf numFmtId="165" fontId="4" fillId="0" borderId="5" xfId="0" applyNumberFormat="1" applyFont="1" applyBorder="1" applyAlignment="1" applyProtection="1">
      <alignment horizontal="center" vertical="center"/>
      <protection locked="0"/>
    </xf>
    <xf numFmtId="165" fontId="4" fillId="0" borderId="1" xfId="0" applyNumberFormat="1" applyFont="1" applyBorder="1" applyAlignment="1" applyProtection="1">
      <alignment horizontal="center" vertical="center"/>
      <protection locked="0"/>
    </xf>
    <xf numFmtId="0" fontId="4" fillId="0" borderId="0" xfId="0" applyFont="1" applyAlignment="1" applyProtection="1">
      <alignment horizontal="left" vertical="top" wrapText="1"/>
      <protection locked="0"/>
    </xf>
    <xf numFmtId="164" fontId="0" fillId="0" borderId="0" xfId="0" applyNumberFormat="1" applyAlignment="1" applyProtection="1">
      <alignment horizontal="center" vertical="center"/>
      <protection locked="0"/>
    </xf>
    <xf numFmtId="165" fontId="10" fillId="0" borderId="1" xfId="0" applyNumberFormat="1" applyFont="1" applyBorder="1" applyAlignment="1" applyProtection="1">
      <alignment horizontal="center" vertical="center"/>
      <protection locked="0"/>
    </xf>
    <xf numFmtId="0" fontId="3" fillId="2" borderId="0" xfId="0" applyFont="1" applyFill="1" applyAlignment="1" applyProtection="1">
      <alignment horizontal="center"/>
      <protection locked="0"/>
    </xf>
    <xf numFmtId="164" fontId="0" fillId="0" borderId="7" xfId="0" applyNumberFormat="1" applyBorder="1" applyAlignment="1" applyProtection="1">
      <alignment horizontal="center" vertical="center"/>
      <protection locked="0"/>
    </xf>
    <xf numFmtId="164" fontId="0" fillId="0" borderId="5" xfId="0" applyNumberFormat="1" applyBorder="1" applyAlignment="1" applyProtection="1">
      <alignment horizontal="center" vertical="center"/>
      <protection locked="0"/>
    </xf>
    <xf numFmtId="164" fontId="0" fillId="0" borderId="2" xfId="0" applyNumberFormat="1" applyBorder="1" applyAlignment="1" applyProtection="1">
      <alignment horizontal="center" vertical="center"/>
      <protection locked="0"/>
    </xf>
    <xf numFmtId="0" fontId="4" fillId="0" borderId="10" xfId="0" applyFont="1" applyBorder="1" applyAlignment="1" applyProtection="1">
      <alignment horizontal="left" vertical="center"/>
      <protection locked="0"/>
    </xf>
    <xf numFmtId="0" fontId="4" fillId="0" borderId="16" xfId="0" applyFont="1" applyBorder="1" applyAlignment="1" applyProtection="1">
      <alignment horizontal="left" vertical="center"/>
      <protection locked="0"/>
    </xf>
    <xf numFmtId="0" fontId="4" fillId="0" borderId="11" xfId="0" applyFont="1" applyBorder="1" applyAlignment="1" applyProtection="1">
      <alignment horizontal="left" vertical="center"/>
      <protection locked="0"/>
    </xf>
    <xf numFmtId="0" fontId="4" fillId="0" borderId="6" xfId="0" applyFont="1" applyBorder="1" applyAlignment="1" applyProtection="1">
      <alignment horizontal="left" vertical="center"/>
      <protection locked="0"/>
    </xf>
    <xf numFmtId="0" fontId="4" fillId="0" borderId="12" xfId="0" applyFont="1" applyBorder="1" applyAlignment="1" applyProtection="1">
      <alignment horizontal="left" vertical="top" wrapText="1"/>
      <protection locked="0"/>
    </xf>
    <xf numFmtId="0" fontId="4" fillId="0" borderId="17" xfId="0" applyFont="1" applyBorder="1" applyAlignment="1" applyProtection="1">
      <alignment horizontal="left" vertical="top" wrapText="1"/>
      <protection locked="0"/>
    </xf>
    <xf numFmtId="0" fontId="4" fillId="0" borderId="15" xfId="0" applyFont="1" applyBorder="1" applyAlignment="1" applyProtection="1">
      <alignment horizontal="left" vertical="top" wrapText="1"/>
      <protection locked="0"/>
    </xf>
    <xf numFmtId="0" fontId="4" fillId="0" borderId="11" xfId="0" applyFont="1" applyBorder="1" applyAlignment="1" applyProtection="1">
      <alignment horizontal="left" vertical="top" wrapText="1"/>
      <protection locked="0"/>
    </xf>
    <xf numFmtId="0" fontId="4" fillId="0" borderId="0" xfId="0" applyFont="1" applyAlignment="1" applyProtection="1">
      <alignment horizontal="left" vertical="top" wrapText="1"/>
      <protection locked="0"/>
    </xf>
    <xf numFmtId="0" fontId="4" fillId="0" borderId="6" xfId="0" applyFont="1" applyBorder="1" applyAlignment="1" applyProtection="1">
      <alignment horizontal="left" vertical="top" wrapText="1"/>
      <protection locked="0"/>
    </xf>
    <xf numFmtId="0" fontId="7" fillId="0" borderId="0" xfId="0" applyFont="1" applyAlignment="1" applyProtection="1">
      <alignment horizontal="left"/>
      <protection locked="0"/>
    </xf>
    <xf numFmtId="0" fontId="6" fillId="0" borderId="0" xfId="0" applyFont="1" applyAlignment="1" applyProtection="1">
      <alignment horizontal="left"/>
      <protection locked="0"/>
    </xf>
    <xf numFmtId="0" fontId="6" fillId="0" borderId="6" xfId="0" applyFont="1" applyBorder="1" applyAlignment="1" applyProtection="1">
      <alignment horizontal="left"/>
      <protection locked="0"/>
    </xf>
    <xf numFmtId="0" fontId="1" fillId="0" borderId="10" xfId="0" applyFont="1" applyBorder="1" applyAlignment="1" applyProtection="1">
      <alignment horizontal="left" vertical="center"/>
      <protection locked="0"/>
    </xf>
    <xf numFmtId="0" fontId="1" fillId="0" borderId="9" xfId="0" applyFont="1" applyBorder="1" applyAlignment="1" applyProtection="1">
      <alignment horizontal="left" vertical="center"/>
      <protection locked="0"/>
    </xf>
    <xf numFmtId="0" fontId="1" fillId="0" borderId="16" xfId="0" applyFont="1" applyBorder="1" applyAlignment="1" applyProtection="1">
      <alignment horizontal="left" vertical="center"/>
      <protection locked="0"/>
    </xf>
    <xf numFmtId="0" fontId="1" fillId="0" borderId="14" xfId="0" applyFont="1" applyBorder="1" applyAlignment="1" applyProtection="1">
      <alignment horizontal="left" vertical="center"/>
      <protection locked="0"/>
    </xf>
    <xf numFmtId="164" fontId="0" fillId="0" borderId="3" xfId="0" applyNumberFormat="1" applyBorder="1" applyAlignment="1" applyProtection="1">
      <alignment horizontal="center" vertical="center"/>
      <protection locked="0"/>
    </xf>
    <xf numFmtId="0" fontId="4" fillId="0" borderId="8" xfId="0" applyFont="1" applyBorder="1" applyAlignment="1" applyProtection="1">
      <alignment horizontal="left" vertical="center"/>
      <protection locked="0"/>
    </xf>
    <xf numFmtId="0" fontId="4" fillId="0" borderId="13" xfId="0" applyFont="1" applyBorder="1" applyAlignment="1" applyProtection="1">
      <alignment horizontal="left" vertical="center"/>
      <protection locked="0"/>
    </xf>
  </cellXfs>
  <cellStyles count="1">
    <cellStyle name="Standard" xfId="0" builtinId="0"/>
  </cellStyles>
  <dxfs count="24">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B1010-25F2-4C04-ADFA-06E269CE0115}">
  <dimension ref="A1:D84"/>
  <sheetViews>
    <sheetView tabSelected="1" zoomScale="115" zoomScaleNormal="115" zoomScaleSheetLayoutView="115" workbookViewId="0">
      <pane ySplit="1" topLeftCell="A25" activePane="bottomLeft"/>
      <selection activeCell="A5" sqref="A5:XFD5"/>
      <selection pane="bottomLeft" activeCell="A48" sqref="A48:A54"/>
    </sheetView>
  </sheetViews>
  <sheetFormatPr baseColWidth="10" defaultColWidth="11.5703125" defaultRowHeight="12.75" x14ac:dyDescent="0.2"/>
  <cols>
    <col min="1" max="1" width="11.5703125" style="1"/>
    <col min="2" max="3" width="31.7109375" style="1" customWidth="1"/>
    <col min="4" max="4" width="15.7109375" style="1" customWidth="1"/>
    <col min="5" max="217" width="9.140625" style="1" customWidth="1"/>
    <col min="218" max="16384" width="11.5703125" style="1"/>
  </cols>
  <sheetData>
    <row r="1" spans="1:4" ht="20.25" x14ac:dyDescent="0.3">
      <c r="A1" s="27" t="s">
        <v>9</v>
      </c>
      <c r="B1" s="27"/>
      <c r="C1" s="27"/>
      <c r="D1" s="27"/>
    </row>
    <row r="2" spans="1:4" ht="18" x14ac:dyDescent="0.25">
      <c r="A2" s="28" t="s">
        <v>8</v>
      </c>
      <c r="B2" s="28"/>
      <c r="C2" s="29"/>
      <c r="D2" s="4">
        <v>3</v>
      </c>
    </row>
    <row r="4" spans="1:4" ht="12" customHeight="1" x14ac:dyDescent="0.2">
      <c r="A4" s="30" t="s">
        <v>1</v>
      </c>
      <c r="B4" s="30" t="s">
        <v>2</v>
      </c>
      <c r="C4" s="32"/>
      <c r="D4" s="5" t="s">
        <v>4</v>
      </c>
    </row>
    <row r="5" spans="1:4" ht="13.5" thickBot="1" x14ac:dyDescent="0.25">
      <c r="A5" s="31"/>
      <c r="B5" s="31"/>
      <c r="C5" s="33"/>
      <c r="D5" s="6" t="s">
        <v>3</v>
      </c>
    </row>
    <row r="6" spans="1:4" ht="12.75" customHeight="1" x14ac:dyDescent="0.2">
      <c r="A6" s="34">
        <v>45996</v>
      </c>
      <c r="B6" s="35" t="s">
        <v>10</v>
      </c>
      <c r="C6" s="36"/>
      <c r="D6" s="7">
        <v>3.2</v>
      </c>
    </row>
    <row r="7" spans="1:4" x14ac:dyDescent="0.2">
      <c r="A7" s="15"/>
      <c r="B7" s="19" t="s">
        <v>11</v>
      </c>
      <c r="C7" s="20"/>
      <c r="D7" s="8">
        <v>0.3</v>
      </c>
    </row>
    <row r="8" spans="1:4" x14ac:dyDescent="0.2">
      <c r="A8" s="15"/>
      <c r="B8" s="19"/>
      <c r="C8" s="20"/>
      <c r="D8" s="8"/>
    </row>
    <row r="9" spans="1:4" x14ac:dyDescent="0.2">
      <c r="A9" s="15"/>
      <c r="B9" s="19"/>
      <c r="C9" s="20"/>
      <c r="D9" s="8"/>
    </row>
    <row r="10" spans="1:4" x14ac:dyDescent="0.2">
      <c r="A10" s="15"/>
      <c r="B10" s="19"/>
      <c r="C10" s="20"/>
      <c r="D10" s="8"/>
    </row>
    <row r="11" spans="1:4" x14ac:dyDescent="0.2">
      <c r="A11" s="15"/>
      <c r="B11" s="2" t="s">
        <v>6</v>
      </c>
      <c r="C11" s="3" t="s">
        <v>5</v>
      </c>
      <c r="D11" s="9">
        <f>SUM(D6:D10)</f>
        <v>3.5</v>
      </c>
    </row>
    <row r="12" spans="1:4" ht="33" customHeight="1" x14ac:dyDescent="0.2">
      <c r="A12" s="15"/>
      <c r="B12" s="24" t="s">
        <v>12</v>
      </c>
      <c r="C12" s="25"/>
      <c r="D12" s="26"/>
    </row>
    <row r="13" spans="1:4" ht="12.75" customHeight="1" x14ac:dyDescent="0.2">
      <c r="A13" s="14">
        <v>46003</v>
      </c>
      <c r="B13" s="17" t="s">
        <v>13</v>
      </c>
      <c r="C13" s="18"/>
      <c r="D13" s="7">
        <v>2.5</v>
      </c>
    </row>
    <row r="14" spans="1:4" x14ac:dyDescent="0.2">
      <c r="A14" s="15"/>
      <c r="B14" s="19" t="s">
        <v>14</v>
      </c>
      <c r="C14" s="20"/>
      <c r="D14" s="8">
        <v>1</v>
      </c>
    </row>
    <row r="15" spans="1:4" x14ac:dyDescent="0.2">
      <c r="A15" s="15"/>
      <c r="B15" s="19" t="s">
        <v>15</v>
      </c>
      <c r="C15" s="20"/>
      <c r="D15" s="8">
        <v>3.5</v>
      </c>
    </row>
    <row r="16" spans="1:4" x14ac:dyDescent="0.2">
      <c r="A16" s="15"/>
      <c r="B16" s="19"/>
      <c r="C16" s="20"/>
      <c r="D16" s="8"/>
    </row>
    <row r="17" spans="1:4" x14ac:dyDescent="0.2">
      <c r="A17" s="15"/>
      <c r="B17" s="19"/>
      <c r="C17" s="20"/>
      <c r="D17" s="8"/>
    </row>
    <row r="18" spans="1:4" x14ac:dyDescent="0.2">
      <c r="A18" s="15"/>
      <c r="B18" s="2" t="s">
        <v>6</v>
      </c>
      <c r="C18" s="3" t="s">
        <v>5</v>
      </c>
      <c r="D18" s="9">
        <f>SUM(D13:D17)</f>
        <v>7</v>
      </c>
    </row>
    <row r="19" spans="1:4" ht="64.5" customHeight="1" x14ac:dyDescent="0.2">
      <c r="A19" s="15"/>
      <c r="B19" s="24" t="s">
        <v>16</v>
      </c>
      <c r="C19" s="25"/>
      <c r="D19" s="26"/>
    </row>
    <row r="20" spans="1:4" ht="12.75" customHeight="1" x14ac:dyDescent="0.2">
      <c r="A20" s="14">
        <v>46009</v>
      </c>
      <c r="B20" s="17" t="s">
        <v>17</v>
      </c>
      <c r="C20" s="18"/>
      <c r="D20" s="7">
        <v>1</v>
      </c>
    </row>
    <row r="21" spans="1:4" x14ac:dyDescent="0.2">
      <c r="A21" s="15"/>
      <c r="B21" s="19" t="s">
        <v>18</v>
      </c>
      <c r="C21" s="20"/>
      <c r="D21" s="8">
        <v>2.5</v>
      </c>
    </row>
    <row r="22" spans="1:4" x14ac:dyDescent="0.2">
      <c r="A22" s="15"/>
      <c r="B22" s="19"/>
      <c r="C22" s="20"/>
      <c r="D22" s="8"/>
    </row>
    <row r="23" spans="1:4" x14ac:dyDescent="0.2">
      <c r="A23" s="15"/>
      <c r="B23" s="19"/>
      <c r="C23" s="20"/>
      <c r="D23" s="8"/>
    </row>
    <row r="24" spans="1:4" x14ac:dyDescent="0.2">
      <c r="A24" s="15"/>
      <c r="B24" s="19"/>
      <c r="C24" s="20"/>
      <c r="D24" s="8"/>
    </row>
    <row r="25" spans="1:4" x14ac:dyDescent="0.2">
      <c r="A25" s="15"/>
      <c r="B25" s="2" t="s">
        <v>6</v>
      </c>
      <c r="C25" s="3" t="s">
        <v>5</v>
      </c>
      <c r="D25" s="9">
        <f>SUM(D20:D24)</f>
        <v>3.5</v>
      </c>
    </row>
    <row r="26" spans="1:4" ht="35.25" customHeight="1" x14ac:dyDescent="0.2">
      <c r="A26" s="15"/>
      <c r="B26" s="24" t="s">
        <v>22</v>
      </c>
      <c r="C26" s="25"/>
      <c r="D26" s="26"/>
    </row>
    <row r="27" spans="1:4" ht="12.75" customHeight="1" x14ac:dyDescent="0.2">
      <c r="A27" s="14">
        <v>46010</v>
      </c>
      <c r="B27" s="17" t="s">
        <v>19</v>
      </c>
      <c r="C27" s="18"/>
      <c r="D27" s="7">
        <v>1</v>
      </c>
    </row>
    <row r="28" spans="1:4" x14ac:dyDescent="0.2">
      <c r="A28" s="15"/>
      <c r="B28" s="19" t="s">
        <v>20</v>
      </c>
      <c r="C28" s="20"/>
      <c r="D28" s="8">
        <v>2</v>
      </c>
    </row>
    <row r="29" spans="1:4" x14ac:dyDescent="0.2">
      <c r="A29" s="15"/>
      <c r="B29" s="19" t="s">
        <v>18</v>
      </c>
      <c r="C29" s="20"/>
      <c r="D29" s="8">
        <v>3.5</v>
      </c>
    </row>
    <row r="30" spans="1:4" x14ac:dyDescent="0.2">
      <c r="A30" s="15"/>
      <c r="B30" s="19" t="s">
        <v>21</v>
      </c>
      <c r="C30" s="20"/>
      <c r="D30" s="8">
        <v>0.5</v>
      </c>
    </row>
    <row r="31" spans="1:4" x14ac:dyDescent="0.2">
      <c r="A31" s="15"/>
      <c r="B31" s="19"/>
      <c r="C31" s="20"/>
      <c r="D31" s="8"/>
    </row>
    <row r="32" spans="1:4" x14ac:dyDescent="0.2">
      <c r="A32" s="15"/>
      <c r="B32" s="2" t="s">
        <v>6</v>
      </c>
      <c r="C32" s="3" t="s">
        <v>5</v>
      </c>
      <c r="D32" s="9">
        <f>SUM(D27:D31)</f>
        <v>7</v>
      </c>
    </row>
    <row r="33" spans="1:4" ht="98.25" customHeight="1" x14ac:dyDescent="0.2">
      <c r="A33" s="16"/>
      <c r="B33" s="21" t="s">
        <v>23</v>
      </c>
      <c r="C33" s="22"/>
      <c r="D33" s="23"/>
    </row>
    <row r="34" spans="1:4" ht="12.75" customHeight="1" x14ac:dyDescent="0.2">
      <c r="A34" s="14">
        <v>46030</v>
      </c>
      <c r="B34" s="17" t="s">
        <v>24</v>
      </c>
      <c r="C34" s="18"/>
      <c r="D34" s="7">
        <v>3.5</v>
      </c>
    </row>
    <row r="35" spans="1:4" x14ac:dyDescent="0.2">
      <c r="A35" s="15"/>
      <c r="D35" s="8"/>
    </row>
    <row r="36" spans="1:4" x14ac:dyDescent="0.2">
      <c r="A36" s="15"/>
      <c r="D36" s="8"/>
    </row>
    <row r="37" spans="1:4" x14ac:dyDescent="0.2">
      <c r="A37" s="15"/>
      <c r="B37" s="19"/>
      <c r="C37" s="20"/>
      <c r="D37" s="8"/>
    </row>
    <row r="38" spans="1:4" x14ac:dyDescent="0.2">
      <c r="A38" s="15"/>
      <c r="B38" s="19"/>
      <c r="C38" s="20"/>
      <c r="D38" s="8"/>
    </row>
    <row r="39" spans="1:4" x14ac:dyDescent="0.2">
      <c r="A39" s="15"/>
      <c r="B39" s="2" t="s">
        <v>6</v>
      </c>
      <c r="C39" s="3" t="s">
        <v>5</v>
      </c>
      <c r="D39" s="9">
        <f>SUM(D34:D38)</f>
        <v>3.5</v>
      </c>
    </row>
    <row r="40" spans="1:4" ht="39" customHeight="1" x14ac:dyDescent="0.2">
      <c r="A40" s="16"/>
      <c r="B40" s="21" t="s">
        <v>29</v>
      </c>
      <c r="C40" s="22"/>
      <c r="D40" s="23"/>
    </row>
    <row r="41" spans="1:4" ht="12.75" customHeight="1" x14ac:dyDescent="0.2">
      <c r="A41" s="14">
        <v>46031</v>
      </c>
      <c r="B41" s="17" t="s">
        <v>25</v>
      </c>
      <c r="C41" s="18"/>
      <c r="D41" s="7">
        <v>4</v>
      </c>
    </row>
    <row r="42" spans="1:4" x14ac:dyDescent="0.2">
      <c r="A42" s="15"/>
      <c r="B42" s="19" t="s">
        <v>26</v>
      </c>
      <c r="C42" s="20"/>
      <c r="D42" s="8">
        <v>0.5</v>
      </c>
    </row>
    <row r="43" spans="1:4" x14ac:dyDescent="0.2">
      <c r="A43" s="15"/>
      <c r="B43" s="19" t="s">
        <v>27</v>
      </c>
      <c r="C43" s="20"/>
      <c r="D43" s="8">
        <v>0.5</v>
      </c>
    </row>
    <row r="44" spans="1:4" x14ac:dyDescent="0.2">
      <c r="A44" s="15"/>
      <c r="B44" s="17" t="s">
        <v>28</v>
      </c>
      <c r="C44" s="18"/>
      <c r="D44" s="8">
        <v>2</v>
      </c>
    </row>
    <row r="45" spans="1:4" x14ac:dyDescent="0.2">
      <c r="A45" s="15"/>
      <c r="B45" s="19"/>
      <c r="C45" s="20"/>
      <c r="D45" s="8"/>
    </row>
    <row r="46" spans="1:4" x14ac:dyDescent="0.2">
      <c r="A46" s="15"/>
      <c r="B46" s="2" t="s">
        <v>6</v>
      </c>
      <c r="C46" s="3" t="s">
        <v>5</v>
      </c>
      <c r="D46" s="9">
        <f>SUM(D41:D45)</f>
        <v>7</v>
      </c>
    </row>
    <row r="47" spans="1:4" ht="50.25" customHeight="1" x14ac:dyDescent="0.2">
      <c r="A47" s="16"/>
      <c r="B47" s="21" t="s">
        <v>30</v>
      </c>
      <c r="C47" s="22"/>
      <c r="D47" s="23"/>
    </row>
    <row r="48" spans="1:4" ht="12.75" customHeight="1" x14ac:dyDescent="0.2">
      <c r="A48" s="14"/>
      <c r="B48" s="17"/>
      <c r="C48" s="18"/>
      <c r="D48" s="7"/>
    </row>
    <row r="49" spans="1:4" x14ac:dyDescent="0.2">
      <c r="A49" s="15"/>
      <c r="B49" s="19"/>
      <c r="C49" s="20"/>
      <c r="D49" s="8"/>
    </row>
    <row r="50" spans="1:4" x14ac:dyDescent="0.2">
      <c r="A50" s="15"/>
      <c r="B50" s="19"/>
      <c r="C50" s="20"/>
      <c r="D50" s="8"/>
    </row>
    <row r="51" spans="1:4" x14ac:dyDescent="0.2">
      <c r="A51" s="15"/>
      <c r="B51" s="19"/>
      <c r="C51" s="20"/>
      <c r="D51" s="8"/>
    </row>
    <row r="52" spans="1:4" x14ac:dyDescent="0.2">
      <c r="A52" s="15"/>
      <c r="B52" s="19"/>
      <c r="C52" s="20"/>
      <c r="D52" s="8"/>
    </row>
    <row r="53" spans="1:4" x14ac:dyDescent="0.2">
      <c r="A53" s="15"/>
      <c r="B53" s="2" t="s">
        <v>6</v>
      </c>
      <c r="C53" s="3" t="s">
        <v>5</v>
      </c>
      <c r="D53" s="9">
        <f>SUM(D48:D52)</f>
        <v>0</v>
      </c>
    </row>
    <row r="54" spans="1:4" ht="24.95" customHeight="1" x14ac:dyDescent="0.2">
      <c r="A54" s="16"/>
      <c r="B54" s="21"/>
      <c r="C54" s="22"/>
      <c r="D54" s="23"/>
    </row>
    <row r="55" spans="1:4" ht="12.75" customHeight="1" x14ac:dyDescent="0.2">
      <c r="A55" s="14"/>
      <c r="B55" s="17"/>
      <c r="C55" s="18"/>
      <c r="D55" s="7"/>
    </row>
    <row r="56" spans="1:4" x14ac:dyDescent="0.2">
      <c r="A56" s="15"/>
      <c r="B56" s="19"/>
      <c r="C56" s="20"/>
      <c r="D56" s="8"/>
    </row>
    <row r="57" spans="1:4" x14ac:dyDescent="0.2">
      <c r="A57" s="15"/>
      <c r="B57" s="19"/>
      <c r="C57" s="20"/>
      <c r="D57" s="8"/>
    </row>
    <row r="58" spans="1:4" x14ac:dyDescent="0.2">
      <c r="A58" s="15"/>
      <c r="B58" s="19"/>
      <c r="C58" s="20"/>
      <c r="D58" s="8"/>
    </row>
    <row r="59" spans="1:4" x14ac:dyDescent="0.2">
      <c r="A59" s="15"/>
      <c r="B59" s="19"/>
      <c r="C59" s="20"/>
      <c r="D59" s="8"/>
    </row>
    <row r="60" spans="1:4" x14ac:dyDescent="0.2">
      <c r="A60" s="15"/>
      <c r="B60" s="2" t="s">
        <v>6</v>
      </c>
      <c r="C60" s="3" t="s">
        <v>5</v>
      </c>
      <c r="D60" s="9">
        <f>SUM(D55:D59)</f>
        <v>0</v>
      </c>
    </row>
    <row r="61" spans="1:4" ht="24.95" customHeight="1" x14ac:dyDescent="0.2">
      <c r="A61" s="16"/>
      <c r="B61" s="21"/>
      <c r="C61" s="22"/>
      <c r="D61" s="23"/>
    </row>
    <row r="62" spans="1:4" ht="12.75" customHeight="1" x14ac:dyDescent="0.2">
      <c r="A62" s="14"/>
      <c r="B62" s="17"/>
      <c r="C62" s="18"/>
      <c r="D62" s="7"/>
    </row>
    <row r="63" spans="1:4" x14ac:dyDescent="0.2">
      <c r="A63" s="15"/>
      <c r="B63" s="19"/>
      <c r="C63" s="20"/>
      <c r="D63" s="8"/>
    </row>
    <row r="64" spans="1:4" x14ac:dyDescent="0.2">
      <c r="A64" s="15"/>
      <c r="B64" s="19"/>
      <c r="C64" s="20"/>
      <c r="D64" s="8"/>
    </row>
    <row r="65" spans="1:4" x14ac:dyDescent="0.2">
      <c r="A65" s="15"/>
      <c r="B65" s="19"/>
      <c r="C65" s="20"/>
      <c r="D65" s="8"/>
    </row>
    <row r="66" spans="1:4" x14ac:dyDescent="0.2">
      <c r="A66" s="15"/>
      <c r="B66" s="19"/>
      <c r="C66" s="20"/>
      <c r="D66" s="8"/>
    </row>
    <row r="67" spans="1:4" x14ac:dyDescent="0.2">
      <c r="A67" s="15"/>
      <c r="B67" s="2" t="s">
        <v>6</v>
      </c>
      <c r="C67" s="3" t="s">
        <v>5</v>
      </c>
      <c r="D67" s="9">
        <f>SUM(D62:D66)</f>
        <v>0</v>
      </c>
    </row>
    <row r="68" spans="1:4" ht="24.95" customHeight="1" x14ac:dyDescent="0.2">
      <c r="A68" s="15"/>
      <c r="B68" s="24"/>
      <c r="C68" s="25"/>
      <c r="D68" s="26"/>
    </row>
    <row r="69" spans="1:4" ht="12.75" customHeight="1" x14ac:dyDescent="0.2">
      <c r="A69" s="14"/>
      <c r="B69" s="17"/>
      <c r="C69" s="18"/>
      <c r="D69" s="7"/>
    </row>
    <row r="70" spans="1:4" x14ac:dyDescent="0.2">
      <c r="A70" s="15"/>
      <c r="B70" s="19"/>
      <c r="C70" s="20"/>
      <c r="D70" s="8"/>
    </row>
    <row r="71" spans="1:4" x14ac:dyDescent="0.2">
      <c r="A71" s="15"/>
      <c r="B71" s="19"/>
      <c r="C71" s="20"/>
      <c r="D71" s="8"/>
    </row>
    <row r="72" spans="1:4" x14ac:dyDescent="0.2">
      <c r="A72" s="15"/>
      <c r="B72" s="19"/>
      <c r="C72" s="20"/>
      <c r="D72" s="8"/>
    </row>
    <row r="73" spans="1:4" x14ac:dyDescent="0.2">
      <c r="A73" s="15"/>
      <c r="B73" s="19"/>
      <c r="C73" s="20"/>
      <c r="D73" s="8"/>
    </row>
    <row r="74" spans="1:4" x14ac:dyDescent="0.2">
      <c r="A74" s="15"/>
      <c r="B74" s="2" t="s">
        <v>6</v>
      </c>
      <c r="C74" s="3" t="s">
        <v>5</v>
      </c>
      <c r="D74" s="9">
        <f>SUM(D69:D73)</f>
        <v>0</v>
      </c>
    </row>
    <row r="75" spans="1:4" ht="24.95" customHeight="1" x14ac:dyDescent="0.2">
      <c r="A75" s="16"/>
      <c r="B75" s="21"/>
      <c r="C75" s="22"/>
      <c r="D75" s="23"/>
    </row>
    <row r="76" spans="1:4" ht="12.75" customHeight="1" x14ac:dyDescent="0.2">
      <c r="A76" s="14"/>
      <c r="B76" s="17"/>
      <c r="C76" s="18"/>
      <c r="D76" s="7"/>
    </row>
    <row r="77" spans="1:4" x14ac:dyDescent="0.2">
      <c r="A77" s="15"/>
      <c r="B77" s="19"/>
      <c r="C77" s="20"/>
      <c r="D77" s="8"/>
    </row>
    <row r="78" spans="1:4" x14ac:dyDescent="0.2">
      <c r="A78" s="15"/>
      <c r="B78" s="19"/>
      <c r="C78" s="20"/>
      <c r="D78" s="8"/>
    </row>
    <row r="79" spans="1:4" x14ac:dyDescent="0.2">
      <c r="A79" s="15"/>
      <c r="B79" s="19"/>
      <c r="C79" s="20"/>
      <c r="D79" s="8"/>
    </row>
    <row r="80" spans="1:4" x14ac:dyDescent="0.2">
      <c r="A80" s="15"/>
      <c r="B80" s="19"/>
      <c r="C80" s="20"/>
      <c r="D80" s="8"/>
    </row>
    <row r="81" spans="1:4" x14ac:dyDescent="0.2">
      <c r="A81" s="15"/>
      <c r="B81" s="2" t="s">
        <v>6</v>
      </c>
      <c r="C81" s="3" t="s">
        <v>5</v>
      </c>
      <c r="D81" s="9">
        <f>SUM(D76:D80)</f>
        <v>0</v>
      </c>
    </row>
    <row r="82" spans="1:4" ht="24.95" customHeight="1" x14ac:dyDescent="0.2">
      <c r="A82" s="16"/>
      <c r="B82" s="21"/>
      <c r="C82" s="22"/>
      <c r="D82" s="23"/>
    </row>
    <row r="83" spans="1:4" ht="12" customHeight="1" x14ac:dyDescent="0.2">
      <c r="A83" s="11"/>
      <c r="B83" s="10"/>
      <c r="C83" s="3" t="s">
        <v>7</v>
      </c>
      <c r="D83" s="12">
        <f>D11+D18+D25+D32+D39+D46+D53+D60+D67+D74+D81</f>
        <v>31.5</v>
      </c>
    </row>
    <row r="84" spans="1:4" x14ac:dyDescent="0.2">
      <c r="A84" s="13" t="s">
        <v>0</v>
      </c>
      <c r="B84" s="13"/>
      <c r="C84" s="13"/>
      <c r="D84" s="13"/>
    </row>
  </sheetData>
  <mergeCells count="80">
    <mergeCell ref="A1:D1"/>
    <mergeCell ref="A2:C2"/>
    <mergeCell ref="A4:A5"/>
    <mergeCell ref="B4:C5"/>
    <mergeCell ref="A6:A12"/>
    <mergeCell ref="B6:C6"/>
    <mergeCell ref="B7:C7"/>
    <mergeCell ref="B8:C8"/>
    <mergeCell ref="B9:C9"/>
    <mergeCell ref="B10:C10"/>
    <mergeCell ref="B12:D12"/>
    <mergeCell ref="A13:A19"/>
    <mergeCell ref="B13:C13"/>
    <mergeCell ref="B14:C14"/>
    <mergeCell ref="B15:C15"/>
    <mergeCell ref="B16:C16"/>
    <mergeCell ref="B17:C17"/>
    <mergeCell ref="B19:D19"/>
    <mergeCell ref="A20:A26"/>
    <mergeCell ref="B20:C20"/>
    <mergeCell ref="B21:C21"/>
    <mergeCell ref="B22:C22"/>
    <mergeCell ref="B23:C23"/>
    <mergeCell ref="B24:C24"/>
    <mergeCell ref="B26:D26"/>
    <mergeCell ref="A27:A33"/>
    <mergeCell ref="B27:C27"/>
    <mergeCell ref="B28:C28"/>
    <mergeCell ref="B29:C29"/>
    <mergeCell ref="B30:C30"/>
    <mergeCell ref="B31:C31"/>
    <mergeCell ref="B33:D33"/>
    <mergeCell ref="A34:A40"/>
    <mergeCell ref="B34:C34"/>
    <mergeCell ref="B42:C42"/>
    <mergeCell ref="B43:C43"/>
    <mergeCell ref="B37:C37"/>
    <mergeCell ref="B38:C38"/>
    <mergeCell ref="B40:D40"/>
    <mergeCell ref="A41:A47"/>
    <mergeCell ref="B41:C41"/>
    <mergeCell ref="B44:C44"/>
    <mergeCell ref="B45:C45"/>
    <mergeCell ref="B47:D47"/>
    <mergeCell ref="A48:A54"/>
    <mergeCell ref="B48:C48"/>
    <mergeCell ref="B49:C49"/>
    <mergeCell ref="B50:C50"/>
    <mergeCell ref="B51:C51"/>
    <mergeCell ref="B52:C52"/>
    <mergeCell ref="B54:D54"/>
    <mergeCell ref="A55:A61"/>
    <mergeCell ref="B55:C55"/>
    <mergeCell ref="B56:C56"/>
    <mergeCell ref="B57:C57"/>
    <mergeCell ref="B58:C58"/>
    <mergeCell ref="B59:C59"/>
    <mergeCell ref="B61:D61"/>
    <mergeCell ref="A62:A68"/>
    <mergeCell ref="B62:C62"/>
    <mergeCell ref="B63:C63"/>
    <mergeCell ref="B64:C64"/>
    <mergeCell ref="B65:C65"/>
    <mergeCell ref="B66:C66"/>
    <mergeCell ref="B68:D68"/>
    <mergeCell ref="A69:A75"/>
    <mergeCell ref="B69:C69"/>
    <mergeCell ref="B70:C70"/>
    <mergeCell ref="B71:C71"/>
    <mergeCell ref="B72:C72"/>
    <mergeCell ref="B73:C73"/>
    <mergeCell ref="B75:D75"/>
    <mergeCell ref="A84:D84"/>
    <mergeCell ref="A76:A82"/>
    <mergeCell ref="B76:C76"/>
    <mergeCell ref="B77:C77"/>
    <mergeCell ref="B78:C78"/>
    <mergeCell ref="B79:C79"/>
    <mergeCell ref="B80:C80"/>
    <mergeCell ref="B82:D82"/>
  </mergeCells>
  <conditionalFormatting sqref="D6:D11">
    <cfRule type="containsText" dxfId="23" priority="23" operator="containsText" text="Terminé">
      <formula>NOT(ISERROR(SEARCH("Terminé",D6)))</formula>
    </cfRule>
    <cfRule type="containsText" dxfId="22" priority="24" operator="containsText" text="En cours">
      <formula>NOT(ISERROR(SEARCH("En cours",D6)))</formula>
    </cfRule>
  </conditionalFormatting>
  <conditionalFormatting sqref="D13:D18">
    <cfRule type="containsText" dxfId="21" priority="21" operator="containsText" text="Terminé">
      <formula>NOT(ISERROR(SEARCH("Terminé",D13)))</formula>
    </cfRule>
    <cfRule type="containsText" dxfId="20" priority="22" operator="containsText" text="En cours">
      <formula>NOT(ISERROR(SEARCH("En cours",D13)))</formula>
    </cfRule>
  </conditionalFormatting>
  <conditionalFormatting sqref="D20:D25">
    <cfRule type="containsText" dxfId="19" priority="3" operator="containsText" text="Terminé">
      <formula>NOT(ISERROR(SEARCH("Terminé",D20)))</formula>
    </cfRule>
    <cfRule type="containsText" dxfId="18" priority="4" operator="containsText" text="En cours">
      <formula>NOT(ISERROR(SEARCH("En cours",D20)))</formula>
    </cfRule>
  </conditionalFormatting>
  <conditionalFormatting sqref="D27:D32">
    <cfRule type="containsText" dxfId="17" priority="19" operator="containsText" text="Terminé">
      <formula>NOT(ISERROR(SEARCH("Terminé",D27)))</formula>
    </cfRule>
    <cfRule type="containsText" dxfId="16" priority="20" operator="containsText" text="En cours">
      <formula>NOT(ISERROR(SEARCH("En cours",D27)))</formula>
    </cfRule>
  </conditionalFormatting>
  <conditionalFormatting sqref="D34:D39">
    <cfRule type="containsText" dxfId="15" priority="17" operator="containsText" text="Terminé">
      <formula>NOT(ISERROR(SEARCH("Terminé",D34)))</formula>
    </cfRule>
    <cfRule type="containsText" dxfId="14" priority="18" operator="containsText" text="En cours">
      <formula>NOT(ISERROR(SEARCH("En cours",D34)))</formula>
    </cfRule>
  </conditionalFormatting>
  <conditionalFormatting sqref="D41:D46">
    <cfRule type="containsText" dxfId="13" priority="9" operator="containsText" text="Terminé">
      <formula>NOT(ISERROR(SEARCH("Terminé",D41)))</formula>
    </cfRule>
    <cfRule type="containsText" dxfId="12" priority="10" operator="containsText" text="En cours">
      <formula>NOT(ISERROR(SEARCH("En cours",D41)))</formula>
    </cfRule>
  </conditionalFormatting>
  <conditionalFormatting sqref="D48:D53">
    <cfRule type="containsText" dxfId="11" priority="7" operator="containsText" text="Terminé">
      <formula>NOT(ISERROR(SEARCH("Terminé",D48)))</formula>
    </cfRule>
    <cfRule type="containsText" dxfId="10" priority="8" operator="containsText" text="En cours">
      <formula>NOT(ISERROR(SEARCH("En cours",D48)))</formula>
    </cfRule>
  </conditionalFormatting>
  <conditionalFormatting sqref="D55:D60">
    <cfRule type="containsText" dxfId="9" priority="5" operator="containsText" text="Terminé">
      <formula>NOT(ISERROR(SEARCH("Terminé",D55)))</formula>
    </cfRule>
    <cfRule type="containsText" dxfId="8" priority="6" operator="containsText" text="En cours">
      <formula>NOT(ISERROR(SEARCH("En cours",D55)))</formula>
    </cfRule>
  </conditionalFormatting>
  <conditionalFormatting sqref="D62:D67">
    <cfRule type="containsText" dxfId="7" priority="15" operator="containsText" text="Terminé">
      <formula>NOT(ISERROR(SEARCH("Terminé",D62)))</formula>
    </cfRule>
    <cfRule type="containsText" dxfId="6" priority="16" operator="containsText" text="En cours">
      <formula>NOT(ISERROR(SEARCH("En cours",D62)))</formula>
    </cfRule>
  </conditionalFormatting>
  <conditionalFormatting sqref="D69:D74">
    <cfRule type="containsText" dxfId="5" priority="13" operator="containsText" text="Terminé">
      <formula>NOT(ISERROR(SEARCH("Terminé",D69)))</formula>
    </cfRule>
    <cfRule type="containsText" dxfId="4" priority="14" operator="containsText" text="En cours">
      <formula>NOT(ISERROR(SEARCH("En cours",D69)))</formula>
    </cfRule>
  </conditionalFormatting>
  <conditionalFormatting sqref="D76:D81">
    <cfRule type="containsText" dxfId="3" priority="11" operator="containsText" text="Terminé">
      <formula>NOT(ISERROR(SEARCH("Terminé",D76)))</formula>
    </cfRule>
    <cfRule type="containsText" dxfId="2" priority="12" operator="containsText" text="En cours">
      <formula>NOT(ISERROR(SEARCH("En cours",D76)))</formula>
    </cfRule>
  </conditionalFormatting>
  <conditionalFormatting sqref="D83">
    <cfRule type="containsText" dxfId="1" priority="1" operator="containsText" text="Terminé">
      <formula>NOT(ISERROR(SEARCH("Terminé",D83)))</formula>
    </cfRule>
    <cfRule type="containsText" dxfId="0" priority="2" operator="containsText" text="En cours">
      <formula>NOT(ISERROR(SEARCH("En cours",D83)))</formula>
    </cfRule>
  </conditionalFormatting>
  <printOptions horizontalCentered="1"/>
  <pageMargins left="0.47244094488188981" right="0.15748031496062992" top="1.4566929133858268" bottom="0.43307086614173229" header="0.31496062992125984" footer="0.19685039370078741"/>
  <pageSetup paperSize="9" orientation="portrait" r:id="rId1"/>
  <headerFooter alignWithMargins="0">
    <oddHeader>&amp;L&amp;"Arial,Gras"&amp;14Informaticien/-ne CFC&amp;"Arial,Normal"&amp;10
Travail pratique individuel 2023 (TPI)&amp;R&amp;"Arial,Gras"&amp;14&amp;G</oddHeader>
    <oddFooter>&amp;L&amp;8&amp;F&amp;R&amp;8Page &amp;P/&amp;N</oddFooter>
  </headerFooter>
  <rowBreaks count="2" manualBreakCount="2">
    <brk id="47" max="16383" man="1"/>
    <brk id="83" max="3" man="1"/>
  </rowBreaks>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BD0882D7B13D249A8B88997E24B9140" ma:contentTypeVersion="14" ma:contentTypeDescription="Crée un document." ma:contentTypeScope="" ma:versionID="3865b25f2bf2a035dbe7787239b3f11c">
  <xsd:schema xmlns:xsd="http://www.w3.org/2001/XMLSchema" xmlns:xs="http://www.w3.org/2001/XMLSchema" xmlns:p="http://schemas.microsoft.com/office/2006/metadata/properties" xmlns:ns2="8afaa137-8a18-4908-97f4-35fc924e5a91" xmlns:ns3="3b60234b-33e6-42ae-ae88-ba7d4a3eedfd" targetNamespace="http://schemas.microsoft.com/office/2006/metadata/properties" ma:root="true" ma:fieldsID="718f9f7ddd2530d56a17ab9424d0abda" ns2:_="" ns3:_="">
    <xsd:import namespace="8afaa137-8a18-4908-97f4-35fc924e5a91"/>
    <xsd:import namespace="3b60234b-33e6-42ae-ae88-ba7d4a3eedf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MediaServiceDateTaken" minOccurs="0"/>
                <xsd:element ref="ns2:MediaServiceLocation"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afaa137-8a18-4908-97f4-35fc924e5a9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Location" ma:index="16" nillable="true" ma:displayName="Location" ma:indexed="true" ma:internalName="MediaServiceLocation" ma:readOnly="true">
      <xsd:simpleType>
        <xsd:restriction base="dms:Text"/>
      </xsd:simpleType>
    </xsd:element>
    <xsd:element name="lcf76f155ced4ddcb4097134ff3c332f" ma:index="18" nillable="true" ma:taxonomy="true" ma:internalName="lcf76f155ced4ddcb4097134ff3c332f" ma:taxonomyFieldName="MediaServiceImageTags" ma:displayName="Balises d’images" ma:readOnly="false" ma:fieldId="{5cf76f15-5ced-4ddc-b409-7134ff3c332f}" ma:taxonomyMulti="true" ma:sspId="fbd933d8-63e4-4f7e-90f6-66429bb13b47"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b60234b-33e6-42ae-ae88-ba7d4a3eedfd"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de1ad492-b571-416b-b6e8-cea3505811d7}" ma:internalName="TaxCatchAll" ma:showField="CatchAllData" ma:web="3b60234b-33e6-42ae-ae88-ba7d4a3eedf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afaa137-8a18-4908-97f4-35fc924e5a91">
      <Terms xmlns="http://schemas.microsoft.com/office/infopath/2007/PartnerControls"/>
    </lcf76f155ced4ddcb4097134ff3c332f>
    <TaxCatchAll xmlns="3b60234b-33e6-42ae-ae88-ba7d4a3eedfd" xsi:nil="true"/>
  </documentManagement>
</p:properties>
</file>

<file path=customXml/itemProps1.xml><?xml version="1.0" encoding="utf-8"?>
<ds:datastoreItem xmlns:ds="http://schemas.openxmlformats.org/officeDocument/2006/customXml" ds:itemID="{84AEF82B-2BAE-481D-A319-B09ADD6915E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afaa137-8a18-4908-97f4-35fc924e5a91"/>
    <ds:schemaRef ds:uri="3b60234b-33e6-42ae-ae88-ba7d4a3eedf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8C0AFF7-6D45-4588-A3CE-0506D82134A8}">
  <ds:schemaRefs>
    <ds:schemaRef ds:uri="http://schemas.microsoft.com/sharepoint/v3/contenttype/forms"/>
  </ds:schemaRefs>
</ds:datastoreItem>
</file>

<file path=customXml/itemProps3.xml><?xml version="1.0" encoding="utf-8"?>
<ds:datastoreItem xmlns:ds="http://schemas.openxmlformats.org/officeDocument/2006/customXml" ds:itemID="{F1CED954-0C0B-4246-88BC-C0C5C061E08E}">
  <ds:schemaRefs>
    <ds:schemaRef ds:uri="http://schemas.microsoft.com/office/2006/metadata/properties"/>
    <ds:schemaRef ds:uri="http://schemas.microsoft.com/office/infopath/2007/PartnerControls"/>
    <ds:schemaRef ds:uri="b54f96d8-6138-4ba9-8b5a-da1062324abb"/>
    <ds:schemaRef ds:uri="0ecde9c3-6951-4ee0-98d0-295e535ef6cd"/>
    <ds:schemaRef ds:uri="8afaa137-8a18-4908-97f4-35fc924e5a91"/>
    <ds:schemaRef ds:uri="3b60234b-33e6-42ae-ae88-ba7d4a3eedf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vt:i4>
      </vt:variant>
      <vt:variant>
        <vt:lpstr>Benannte Bereiche</vt:lpstr>
      </vt:variant>
      <vt:variant>
        <vt:i4>2</vt:i4>
      </vt:variant>
    </vt:vector>
  </HeadingPairs>
  <TitlesOfParts>
    <vt:vector size="3" baseType="lpstr">
      <vt:lpstr>Journal_Luuk_Müller</vt:lpstr>
      <vt:lpstr>Journal_Luuk_Müller!Druckbereich</vt:lpstr>
      <vt:lpstr>Journal_Luuk_Müller!Drucktitel</vt:lpstr>
    </vt:vector>
  </TitlesOfParts>
  <Company>EMF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Guisolan Christian</dc:creator>
  <cp:lastModifiedBy>Müller Luuk</cp:lastModifiedBy>
  <cp:lastPrinted>2022-01-05T15:16:39Z</cp:lastPrinted>
  <dcterms:created xsi:type="dcterms:W3CDTF">2002-03-11T12:50:08Z</dcterms:created>
  <dcterms:modified xsi:type="dcterms:W3CDTF">2026-01-09T15:44:38Z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0x0101006BD0882D7B13D249A8B88997E24B9140</vt:lpwstr>
  </property>
  <property fmtid="{D5CDD505-2E9C-101B-9397-08002B2CF9AE}" pid="3" name="MediaServiceImageTags">
    <vt:lpwstr/>
  </property>
</Properties>
</file>