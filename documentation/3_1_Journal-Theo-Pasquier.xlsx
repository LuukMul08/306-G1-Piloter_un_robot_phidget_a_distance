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checkCompatibility="1"/>
  <mc:AlternateContent xmlns:mc="http://schemas.openxmlformats.org/markup-compatibility/2006">
    <mc:Choice Requires="x15">
      <x15ac:absPath xmlns:x15ac="http://schemas.microsoft.com/office/spreadsheetml/2010/11/ac" url="https://eduetatfr-my.sharepoint.com/personal/theo_pasquier_studentfr_ch/Documents/3eme année/306/projet/306-G1-Piloter_un_robot_phidget_a_distance/documentation/"/>
    </mc:Choice>
  </mc:AlternateContent>
  <xr:revisionPtr revIDLastSave="92" documentId="13_ncr:1_{C68E2980-A969-4E78-98D4-6A7237E3E30A}" xr6:coauthVersionLast="47" xr6:coauthVersionMax="47" xr10:uidLastSave="{68D436C3-5C5F-4529-BF07-5A5CA13AD6E7}"/>
  <bookViews>
    <workbookView xWindow="-120" yWindow="-120" windowWidth="29040" windowHeight="15720" xr2:uid="{00000000-000D-0000-FFFF-FFFF00000000}"/>
  </bookViews>
  <sheets>
    <sheet name="Journal_NOM_PRENOM" sheetId="8" r:id="rId1"/>
  </sheets>
  <definedNames>
    <definedName name="_xlnm._FilterDatabase" localSheetId="0" hidden="1">Journal_NOM_PRENOM!$A$5:$HI$5</definedName>
    <definedName name="_xlnm.Print_Titles" localSheetId="0">Journal_NOM_PRENOM!$B:$D,Journal_NOM_PRENOM!$1:$5</definedName>
    <definedName name="_xlnm.Print_Area" localSheetId="0">Journal_NOM_PRENOM!$A$1:$D$83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5" i="8" l="1"/>
  <c r="D60" i="8"/>
  <c r="D53" i="8"/>
  <c r="D46" i="8"/>
  <c r="D81" i="8"/>
  <c r="D74" i="8"/>
  <c r="D67" i="8"/>
  <c r="D39" i="8"/>
  <c r="D32" i="8"/>
  <c r="D18" i="8"/>
  <c r="D11" i="8"/>
  <c r="D83" i="8" l="1"/>
</calcChain>
</file>

<file path=xl/sharedStrings.xml><?xml version="1.0" encoding="utf-8"?>
<sst xmlns="http://schemas.openxmlformats.org/spreadsheetml/2006/main" count="59" uniqueCount="38">
  <si>
    <t>Insérer les lignes au-dessus de celle-ci !</t>
  </si>
  <si>
    <t>Date</t>
  </si>
  <si>
    <t>Travail effectué</t>
  </si>
  <si>
    <t>[H.h]</t>
  </si>
  <si>
    <t>Temps</t>
  </si>
  <si>
    <t>Total &gt;</t>
  </si>
  <si>
    <r>
      <t xml:space="preserve">Réflexion personnelle </t>
    </r>
    <r>
      <rPr>
        <sz val="8"/>
        <rFont val="Calibri"/>
        <family val="2"/>
      </rPr>
      <t>↓↓↓</t>
    </r>
  </si>
  <si>
    <t>Total général &gt;</t>
  </si>
  <si>
    <r>
      <t>Projet :</t>
    </r>
    <r>
      <rPr>
        <b/>
        <sz val="14"/>
        <rFont val="Arial"/>
        <family val="2"/>
      </rPr>
      <t xml:space="preserve"> Piloter un robot phidget à distance</t>
    </r>
  </si>
  <si>
    <t>Pasquier Théo</t>
  </si>
  <si>
    <t>Faire le cahier des charges</t>
  </si>
  <si>
    <t>Comprendre comment faire le planning du projet</t>
  </si>
  <si>
    <t>J'ai travaillé un peu lentement sur le cahier des charges ce qui fait que je n'ai même pas pu encore commencer à faire le planning sur le projet mais juste analyser comment le faire. Je me dois de travailler plus vite pour le prochain Sprint.</t>
  </si>
  <si>
    <t>Effectuer le planning</t>
  </si>
  <si>
    <t>modifier cahier des charges</t>
  </si>
  <si>
    <t>modifier cahier des charges en fonction des remarques du client</t>
  </si>
  <si>
    <t>modifier le planning</t>
  </si>
  <si>
    <t>travailler sur le côté développement du projet</t>
  </si>
  <si>
    <t>Cette semaine c'est bien passée, au début j'étais un peu stressé par le fait de faire une réunion avec le client et lui présenter le cahier des charges ainsi que le business case mais tout c'est bien passée, il n'y a pas eu beaucoup de modification à faire alors je me suis dit que j'avais fait un bon travail de ce côté-ci. Au niveau du planning j'ai eu plus de facilité à le faire mais j'ai quand même reçu quelque remarque sur ce dernier. Au niveau du développement du projet j'ai été assez peu efficace comparé à mes collègues mais je pense que je leur ai été assez utile en leur donnant des conseils ou alors en leur donnant des remaques constructive sur ce qu'ils pourraient améliorer.</t>
  </si>
  <si>
    <t>Documentation des tâches effectuées</t>
  </si>
  <si>
    <t>Faire la documentation de projet (diagramme)</t>
  </si>
  <si>
    <t>Aider le développeur et le scrum master pour régler un problème avec le robot</t>
  </si>
  <si>
    <t>Ce début de semaine était un peu bordellique avec les différentes choses à faire dû aux commentaires du professeur par rapport à notre kanban, denition of done, etc…. Dès que l'on a pu retrouver tout ce qu'il y avait à faire alors on a pu se répartir les tâches  pour finalement réussir à refaire le kanban, la definition of done etc.... Le plus dur était que l'on avait un problème avec une manette alors on a du réfléchir et beaucoup tester jusqu'à changer de manette. Finalement ce début de semaine s'est très bien terminé.</t>
  </si>
  <si>
    <t>Modifier le Sprint planning</t>
  </si>
  <si>
    <t>faire le diagramme UseCase, d'activité, de séquence</t>
  </si>
  <si>
    <t>Faire la documentation des tâches effectuées</t>
  </si>
  <si>
    <t>Faire la maquette de la page HTML</t>
  </si>
  <si>
    <t>Cette journée a été très efficace, j'ai eu l'impression de travaillé beaucoup meiux et plus vite que d'habitude. J'ai bien collaboré avec mes collègues pour avoir leurs avis sur mon travail, notemment les différents diagrammes effectués. Même si parfois j'ai été un peu distrait par le fait d'être en vacance et donc un peu de perte de motivation mais jamais trop long.</t>
  </si>
  <si>
    <t>Faire la documentation</t>
  </si>
  <si>
    <t>Chercher les problèmes dans le code du dashboard</t>
  </si>
  <si>
    <t>J'ai beaucoup avancé au niveau de la documentation jusqu'à en avoir tellement marre que j'ai été chercher des problèmes rencontrés dans le code effectués par mes collègues. Je suis content du travail effectué même si parfois j'ai manqué un peu d'attention.</t>
  </si>
  <si>
    <t>traduction et implémentation du guide utilisateur</t>
  </si>
  <si>
    <t>Journée très longue car faire de la documentation, quelle qu'elle soit pendant 5h c'est long ennuyant et embêtant. Heureusement que Andrei avait besoin de mon aide pour la traduction et l'implémentation du guide utilisateur pour le clavier. Je fûs distrait par l'extérieur plusieurs fois durant la journée pour manque de motivation à faire la documentation.</t>
  </si>
  <si>
    <t>Faire le PowerPoint pour la présentation du projet</t>
  </si>
  <si>
    <t>Finir le PowerPoint</t>
  </si>
  <si>
    <t>Documentation de projet</t>
  </si>
  <si>
    <t>Toute l'après-midi a été dédiée à cette présentation. Au début c'était assez sympa mais c'est vite devenu lourd. Faire une présentation pendant 3h c'est long alors j'ai été distrait par ce qui se passait dehors plusieurs fois dans l'après-midi ce qui m'as un peu retardé.</t>
  </si>
  <si>
    <t>Cette matinée est passée beaucoup trop vite. Il y avait beaucoup de choses à mettre en place et à vérifier que je n'en ai pas vu le temps apssé. C'est assez agréable de devoir travaillé sur plusieurs chose sen même temps et pas seulement faire de la doucmentation tout au long de la journée comme le Product Owner que je suis.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</si>
</sst>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
    <numFmt numFmtId="165" formatCode="0.0"/>
  </numFmts>
  <fonts count="10" x14ac:knownFonts="1">
    <font>
      <sz val="10"/>
      <name val="Arial"/>
    </font>
    <font>
      <b/>
      <sz val="10"/>
      <name val="Arial"/>
      <family val="2"/>
    </font>
    <font>
      <b/>
      <sz val="14"/>
      <name val="Arial"/>
      <family val="2"/>
    </font>
    <font>
      <sz val="10"/>
      <color rgb="FFFF0000"/>
      <name val="Arial"/>
      <family val="2"/>
    </font>
    <font>
      <sz val="8"/>
      <name val="Arial"/>
      <family val="2"/>
    </font>
    <font>
      <sz val="14"/>
      <name val="Arial"/>
      <family val="2"/>
    </font>
    <font>
      <b/>
      <sz val="16"/>
      <name val="Arial"/>
      <family val="2"/>
    </font>
    <font>
      <sz val="9"/>
      <name val="Arial"/>
      <family val="2"/>
    </font>
    <font>
      <sz val="8"/>
      <name val="Calibri"/>
      <family val="2"/>
    </font>
    <font>
      <b/>
      <sz val="8"/>
      <name val="Arial"/>
      <family val="2"/>
    </font>
  </fonts>
  <fills count="4">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top style="medium">
        <color indexed="64"/>
      </top>
      <bottom/>
      <diagonal/>
    </border>
    <border>
      <left style="thin">
        <color indexed="64"/>
      </left>
      <right/>
      <top/>
      <bottom style="medium">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style="medium">
        <color indexed="64"/>
      </top>
      <bottom/>
      <diagonal/>
    </border>
    <border>
      <left/>
      <right style="thin">
        <color indexed="64"/>
      </right>
      <top/>
      <bottom style="medium">
        <color indexed="64"/>
      </bottom>
      <diagonal/>
    </border>
    <border>
      <left/>
      <right style="thin">
        <color indexed="64"/>
      </right>
      <top/>
      <bottom style="thin">
        <color indexed="64"/>
      </bottom>
      <diagonal/>
    </border>
    <border>
      <left/>
      <right style="thin">
        <color indexed="64"/>
      </right>
      <top style="thin">
        <color indexed="64"/>
      </top>
      <bottom/>
      <diagonal/>
    </border>
    <border>
      <left/>
      <right/>
      <top/>
      <bottom style="thin">
        <color indexed="64"/>
      </bottom>
      <diagonal/>
    </border>
  </borders>
  <cellStyleXfs count="1">
    <xf numFmtId="0" fontId="0" fillId="0" borderId="0"/>
  </cellStyleXfs>
  <cellXfs count="39">
    <xf numFmtId="0" fontId="0" fillId="0" borderId="0" xfId="0"/>
    <xf numFmtId="0" fontId="0" fillId="0" borderId="0" xfId="0" applyProtection="1">
      <protection locked="0"/>
    </xf>
    <xf numFmtId="0" fontId="4" fillId="3" borderId="10" xfId="0" applyFont="1" applyFill="1" applyBorder="1" applyAlignment="1" applyProtection="1">
      <alignment horizontal="left" vertical="center"/>
      <protection locked="0"/>
    </xf>
    <xf numFmtId="0" fontId="4" fillId="3" borderId="16" xfId="0" applyFont="1" applyFill="1" applyBorder="1" applyAlignment="1" applyProtection="1">
      <alignment horizontal="right" vertical="center"/>
      <protection locked="0"/>
    </xf>
    <xf numFmtId="0" fontId="5" fillId="0" borderId="1" xfId="0" applyFont="1" applyBorder="1" applyAlignment="1" applyProtection="1">
      <alignment horizontal="left"/>
      <protection locked="0"/>
    </xf>
    <xf numFmtId="0" fontId="1" fillId="0" borderId="7" xfId="0" applyFont="1" applyBorder="1" applyAlignment="1" applyProtection="1">
      <alignment horizontal="center"/>
      <protection locked="0"/>
    </xf>
    <xf numFmtId="0" fontId="7" fillId="0" borderId="4" xfId="0" applyFont="1" applyBorder="1" applyAlignment="1" applyProtection="1">
      <alignment horizontal="center"/>
      <protection locked="0"/>
    </xf>
    <xf numFmtId="165" fontId="4" fillId="0" borderId="7" xfId="0" applyNumberFormat="1" applyFont="1" applyBorder="1" applyAlignment="1" applyProtection="1">
      <alignment horizontal="center" vertical="center"/>
      <protection locked="0"/>
    </xf>
    <xf numFmtId="165" fontId="4" fillId="0" borderId="5" xfId="0" applyNumberFormat="1" applyFont="1" applyBorder="1" applyAlignment="1" applyProtection="1">
      <alignment horizontal="center" vertical="center"/>
      <protection locked="0"/>
    </xf>
    <xf numFmtId="165" fontId="4" fillId="0" borderId="1" xfId="0" applyNumberFormat="1" applyFont="1" applyBorder="1" applyAlignment="1" applyProtection="1">
      <alignment horizontal="center" vertical="center"/>
      <protection locked="0"/>
    </xf>
    <xf numFmtId="0" fontId="4" fillId="0" borderId="0" xfId="0" applyFont="1" applyAlignment="1" applyProtection="1">
      <alignment horizontal="left" vertical="top" wrapText="1"/>
      <protection locked="0"/>
    </xf>
    <xf numFmtId="164" fontId="0" fillId="0" borderId="0" xfId="0" applyNumberFormat="1" applyAlignment="1" applyProtection="1">
      <alignment horizontal="center" vertical="center"/>
      <protection locked="0"/>
    </xf>
    <xf numFmtId="165" fontId="9" fillId="0" borderId="1" xfId="0" applyNumberFormat="1" applyFont="1" applyBorder="1" applyAlignment="1" applyProtection="1">
      <alignment horizontal="center" vertical="center"/>
      <protection locked="0"/>
    </xf>
    <xf numFmtId="0" fontId="3" fillId="2" borderId="0" xfId="0" applyFont="1" applyFill="1" applyAlignment="1" applyProtection="1">
      <alignment horizontal="center"/>
      <protection locked="0"/>
    </xf>
    <xf numFmtId="164" fontId="0" fillId="0" borderId="7" xfId="0" applyNumberFormat="1" applyBorder="1" applyAlignment="1" applyProtection="1">
      <alignment horizontal="center" vertical="center"/>
      <protection locked="0"/>
    </xf>
    <xf numFmtId="164" fontId="0" fillId="0" borderId="5" xfId="0" applyNumberFormat="1" applyBorder="1" applyAlignment="1" applyProtection="1">
      <alignment horizontal="center" vertical="center"/>
      <protection locked="0"/>
    </xf>
    <xf numFmtId="0" fontId="4" fillId="0" borderId="10" xfId="0" applyFont="1" applyBorder="1" applyAlignment="1" applyProtection="1">
      <alignment horizontal="left" vertical="center"/>
      <protection locked="0"/>
    </xf>
    <xf numFmtId="0" fontId="4" fillId="0" borderId="16" xfId="0" applyFont="1" applyBorder="1" applyAlignment="1" applyProtection="1">
      <alignment horizontal="left" vertical="center"/>
      <protection locked="0"/>
    </xf>
    <xf numFmtId="0" fontId="4" fillId="0" borderId="11" xfId="0" applyFont="1" applyBorder="1" applyAlignment="1" applyProtection="1">
      <alignment horizontal="left" vertical="center"/>
      <protection locked="0"/>
    </xf>
    <xf numFmtId="0" fontId="4" fillId="0" borderId="6" xfId="0" applyFont="1" applyBorder="1" applyAlignment="1" applyProtection="1">
      <alignment horizontal="left" vertical="center"/>
      <protection locked="0"/>
    </xf>
    <xf numFmtId="0" fontId="4" fillId="0" borderId="11" xfId="0" applyFont="1" applyBorder="1" applyAlignment="1" applyProtection="1">
      <alignment horizontal="left" vertical="top" wrapText="1"/>
      <protection locked="0"/>
    </xf>
    <xf numFmtId="0" fontId="4" fillId="0" borderId="0" xfId="0" applyFont="1" applyAlignment="1" applyProtection="1">
      <alignment horizontal="left" vertical="top" wrapText="1"/>
      <protection locked="0"/>
    </xf>
    <xf numFmtId="0" fontId="4" fillId="0" borderId="6" xfId="0" applyFont="1" applyBorder="1" applyAlignment="1" applyProtection="1">
      <alignment horizontal="left" vertical="top" wrapText="1"/>
      <protection locked="0"/>
    </xf>
    <xf numFmtId="164" fontId="0" fillId="0" borderId="2" xfId="0" applyNumberFormat="1" applyBorder="1" applyAlignment="1" applyProtection="1">
      <alignment horizontal="center" vertical="center"/>
      <protection locked="0"/>
    </xf>
    <xf numFmtId="0" fontId="4" fillId="0" borderId="12" xfId="0" applyFont="1" applyBorder="1" applyAlignment="1" applyProtection="1">
      <alignment horizontal="left" vertical="top" wrapText="1"/>
      <protection locked="0"/>
    </xf>
    <xf numFmtId="0" fontId="4" fillId="0" borderId="17" xfId="0" applyFont="1" applyBorder="1" applyAlignment="1" applyProtection="1">
      <alignment horizontal="left" vertical="top" wrapText="1"/>
      <protection locked="0"/>
    </xf>
    <xf numFmtId="0" fontId="4" fillId="0" borderId="15" xfId="0" applyFont="1" applyBorder="1" applyAlignment="1" applyProtection="1">
      <alignment horizontal="left" vertical="top" wrapText="1"/>
      <protection locked="0"/>
    </xf>
    <xf numFmtId="0" fontId="6" fillId="0" borderId="0" xfId="0" applyFont="1" applyAlignment="1" applyProtection="1">
      <alignment horizontal="left"/>
      <protection locked="0"/>
    </xf>
    <xf numFmtId="0" fontId="1" fillId="0" borderId="10" xfId="0" applyFont="1" applyBorder="1" applyAlignment="1" applyProtection="1">
      <alignment horizontal="left" vertical="center"/>
      <protection locked="0"/>
    </xf>
    <xf numFmtId="0" fontId="1" fillId="0" borderId="16" xfId="0" applyFont="1" applyBorder="1" applyAlignment="1" applyProtection="1">
      <alignment horizontal="left" vertical="center"/>
      <protection locked="0"/>
    </xf>
    <xf numFmtId="0" fontId="1" fillId="0" borderId="9" xfId="0" applyFont="1" applyBorder="1" applyAlignment="1" applyProtection="1">
      <alignment horizontal="left" vertical="center"/>
      <protection locked="0"/>
    </xf>
    <xf numFmtId="0" fontId="1" fillId="0" borderId="14" xfId="0" applyFont="1" applyBorder="1" applyAlignment="1" applyProtection="1">
      <alignment horizontal="left" vertical="center"/>
      <protection locked="0"/>
    </xf>
    <xf numFmtId="0" fontId="4" fillId="0" borderId="8" xfId="0" applyFont="1" applyBorder="1" applyAlignment="1" applyProtection="1">
      <alignment horizontal="left" vertical="center"/>
      <protection locked="0"/>
    </xf>
    <xf numFmtId="0" fontId="4" fillId="0" borderId="13" xfId="0" applyFont="1" applyBorder="1" applyAlignment="1" applyProtection="1">
      <alignment horizontal="left" vertical="center"/>
      <protection locked="0"/>
    </xf>
    <xf numFmtId="0" fontId="5" fillId="0" borderId="0" xfId="0" applyFont="1" applyAlignment="1" applyProtection="1">
      <alignment horizontal="left"/>
      <protection locked="0"/>
    </xf>
    <xf numFmtId="0" fontId="5" fillId="0" borderId="6" xfId="0" applyFont="1" applyBorder="1" applyAlignment="1" applyProtection="1">
      <alignment horizontal="left"/>
      <protection locked="0"/>
    </xf>
    <xf numFmtId="164" fontId="0" fillId="0" borderId="3" xfId="0" applyNumberFormat="1" applyBorder="1" applyAlignment="1" applyProtection="1">
      <alignment horizontal="center" vertical="center"/>
      <protection locked="0"/>
    </xf>
    <xf numFmtId="0" fontId="4" fillId="0" borderId="11" xfId="0" applyFont="1" applyBorder="1" applyAlignment="1" applyProtection="1">
      <alignment horizontal="left"/>
      <protection locked="0"/>
    </xf>
    <xf numFmtId="0" fontId="4" fillId="0" borderId="6" xfId="0" applyFont="1" applyBorder="1" applyAlignment="1" applyProtection="1">
      <alignment horizontal="left"/>
      <protection locked="0"/>
    </xf>
  </cellXfs>
  <cellStyles count="1">
    <cellStyle name="Normal" xfId="0" builtinId="0"/>
  </cellStyles>
  <dxfs count="24">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styles" Target="style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 Id="rId9" Type="http://schemas.openxmlformats.org/officeDocument/2006/relationships/customXml" Target="../customXml/item3.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84"/>
  <sheetViews>
    <sheetView tabSelected="1" zoomScale="115" zoomScaleNormal="115" zoomScaleSheetLayoutView="115" workbookViewId="0">
      <pane ySplit="1" topLeftCell="A44" activePane="bottomLeft"/>
      <selection activeCell="D5" sqref="A5:XFD5"/>
      <selection pane="bottomLeft" activeCell="B61" sqref="B61:D61"/>
    </sheetView>
  </sheetViews>
  <sheetFormatPr baseColWidth="10" defaultColWidth="11.5703125" defaultRowHeight="12.75" x14ac:dyDescent="0.2"/>
  <cols>
    <col min="1" max="1" width="11.5703125" style="1"/>
    <col min="2" max="3" width="31.7109375" style="1" customWidth="1"/>
    <col min="4" max="4" width="15.7109375" style="1" customWidth="1"/>
    <col min="5" max="217" width="9.140625" style="1" customWidth="1"/>
    <col min="218" max="16384" width="11.5703125" style="1"/>
  </cols>
  <sheetData>
    <row r="1" spans="1:4" ht="20.25" x14ac:dyDescent="0.3">
      <c r="A1" s="27" t="s">
        <v>8</v>
      </c>
      <c r="B1" s="27"/>
      <c r="C1" s="27"/>
      <c r="D1" s="27"/>
    </row>
    <row r="2" spans="1:4" ht="18" x14ac:dyDescent="0.25">
      <c r="A2" s="34" t="s">
        <v>9</v>
      </c>
      <c r="B2" s="34"/>
      <c r="C2" s="35"/>
      <c r="D2" s="4">
        <v>1</v>
      </c>
    </row>
    <row r="4" spans="1:4" ht="12" customHeight="1" x14ac:dyDescent="0.2">
      <c r="A4" s="28" t="s">
        <v>1</v>
      </c>
      <c r="B4" s="28" t="s">
        <v>2</v>
      </c>
      <c r="C4" s="29"/>
      <c r="D4" s="5" t="s">
        <v>4</v>
      </c>
    </row>
    <row r="5" spans="1:4" ht="13.5" thickBot="1" x14ac:dyDescent="0.25">
      <c r="A5" s="30"/>
      <c r="B5" s="30"/>
      <c r="C5" s="31"/>
      <c r="D5" s="6" t="s">
        <v>3</v>
      </c>
    </row>
    <row r="6" spans="1:4" ht="12.75" customHeight="1" x14ac:dyDescent="0.2">
      <c r="A6" s="36">
        <v>45996</v>
      </c>
      <c r="B6" s="32" t="s">
        <v>10</v>
      </c>
      <c r="C6" s="33"/>
      <c r="D6" s="7">
        <v>3</v>
      </c>
    </row>
    <row r="7" spans="1:4" x14ac:dyDescent="0.2">
      <c r="A7" s="15"/>
      <c r="B7" s="18" t="s">
        <v>11</v>
      </c>
      <c r="C7" s="19"/>
      <c r="D7" s="8">
        <v>0.5</v>
      </c>
    </row>
    <row r="8" spans="1:4" x14ac:dyDescent="0.2">
      <c r="A8" s="15"/>
      <c r="B8" s="18"/>
      <c r="C8" s="19"/>
      <c r="D8" s="8"/>
    </row>
    <row r="9" spans="1:4" x14ac:dyDescent="0.2">
      <c r="A9" s="15"/>
      <c r="B9" s="18"/>
      <c r="C9" s="19"/>
      <c r="D9" s="8"/>
    </row>
    <row r="10" spans="1:4" x14ac:dyDescent="0.2">
      <c r="A10" s="15"/>
      <c r="B10" s="18"/>
      <c r="C10" s="19"/>
      <c r="D10" s="8"/>
    </row>
    <row r="11" spans="1:4" x14ac:dyDescent="0.2">
      <c r="A11" s="15"/>
      <c r="B11" s="2" t="s">
        <v>6</v>
      </c>
      <c r="C11" s="3" t="s">
        <v>5</v>
      </c>
      <c r="D11" s="9">
        <f>SUM(D6:D10)</f>
        <v>3.5</v>
      </c>
    </row>
    <row r="12" spans="1:4" ht="36" customHeight="1" x14ac:dyDescent="0.2">
      <c r="A12" s="15"/>
      <c r="B12" s="20" t="s">
        <v>12</v>
      </c>
      <c r="C12" s="21"/>
      <c r="D12" s="22"/>
    </row>
    <row r="13" spans="1:4" ht="12.75" customHeight="1" x14ac:dyDescent="0.2">
      <c r="A13" s="14">
        <v>46003</v>
      </c>
      <c r="B13" s="16" t="s">
        <v>13</v>
      </c>
      <c r="C13" s="17"/>
      <c r="D13" s="7">
        <v>1</v>
      </c>
    </row>
    <row r="14" spans="1:4" x14ac:dyDescent="0.2">
      <c r="A14" s="15"/>
      <c r="B14" s="18" t="s">
        <v>14</v>
      </c>
      <c r="C14" s="19"/>
      <c r="D14" s="8">
        <v>0.5</v>
      </c>
    </row>
    <row r="15" spans="1:4" x14ac:dyDescent="0.2">
      <c r="A15" s="15"/>
      <c r="B15" s="18" t="s">
        <v>15</v>
      </c>
      <c r="C15" s="19"/>
      <c r="D15" s="8">
        <v>2</v>
      </c>
    </row>
    <row r="16" spans="1:4" x14ac:dyDescent="0.2">
      <c r="A16" s="15"/>
      <c r="B16" s="18" t="s">
        <v>16</v>
      </c>
      <c r="C16" s="19"/>
      <c r="D16" s="8">
        <v>2</v>
      </c>
    </row>
    <row r="17" spans="1:4" x14ac:dyDescent="0.2">
      <c r="A17" s="15"/>
      <c r="B17" s="18" t="s">
        <v>17</v>
      </c>
      <c r="C17" s="19"/>
      <c r="D17" s="8">
        <v>1.5</v>
      </c>
    </row>
    <row r="18" spans="1:4" x14ac:dyDescent="0.2">
      <c r="A18" s="15"/>
      <c r="B18" s="2" t="s">
        <v>6</v>
      </c>
      <c r="C18" s="3" t="s">
        <v>5</v>
      </c>
      <c r="D18" s="9">
        <f>SUM(D13:D17)</f>
        <v>7</v>
      </c>
    </row>
    <row r="19" spans="1:4" ht="70.5" customHeight="1" x14ac:dyDescent="0.2">
      <c r="A19" s="15"/>
      <c r="B19" s="20" t="s">
        <v>18</v>
      </c>
      <c r="C19" s="21"/>
      <c r="D19" s="22"/>
    </row>
    <row r="20" spans="1:4" ht="12.75" customHeight="1" x14ac:dyDescent="0.2">
      <c r="A20" s="14">
        <v>46009</v>
      </c>
      <c r="B20" s="16" t="s">
        <v>19</v>
      </c>
      <c r="C20" s="17"/>
      <c r="D20" s="7">
        <v>1</v>
      </c>
    </row>
    <row r="21" spans="1:4" x14ac:dyDescent="0.2">
      <c r="A21" s="15"/>
      <c r="B21" s="18" t="s">
        <v>20</v>
      </c>
      <c r="C21" s="19"/>
      <c r="D21" s="8">
        <v>1.5</v>
      </c>
    </row>
    <row r="22" spans="1:4" x14ac:dyDescent="0.2">
      <c r="A22" s="15"/>
      <c r="B22" s="37" t="s">
        <v>21</v>
      </c>
      <c r="C22" s="38"/>
      <c r="D22" s="8">
        <v>1</v>
      </c>
    </row>
    <row r="23" spans="1:4" x14ac:dyDescent="0.2">
      <c r="A23" s="15"/>
      <c r="B23" s="18"/>
      <c r="C23" s="19"/>
      <c r="D23" s="8"/>
    </row>
    <row r="24" spans="1:4" x14ac:dyDescent="0.2">
      <c r="A24" s="15"/>
      <c r="B24" s="18"/>
      <c r="C24" s="19"/>
      <c r="D24" s="8"/>
    </row>
    <row r="25" spans="1:4" x14ac:dyDescent="0.2">
      <c r="A25" s="15"/>
      <c r="B25" s="2" t="s">
        <v>6</v>
      </c>
      <c r="C25" s="3" t="s">
        <v>5</v>
      </c>
      <c r="D25" s="9">
        <f>SUM(D20:D24)</f>
        <v>3.5</v>
      </c>
    </row>
    <row r="26" spans="1:4" ht="57.75" customHeight="1" x14ac:dyDescent="0.2">
      <c r="A26" s="15"/>
      <c r="B26" s="20" t="s">
        <v>22</v>
      </c>
      <c r="C26" s="21"/>
      <c r="D26" s="22"/>
    </row>
    <row r="27" spans="1:4" ht="12.75" customHeight="1" x14ac:dyDescent="0.2">
      <c r="A27" s="14">
        <v>46010</v>
      </c>
      <c r="B27" s="16" t="s">
        <v>23</v>
      </c>
      <c r="C27" s="17"/>
      <c r="D27" s="7">
        <v>0.5</v>
      </c>
    </row>
    <row r="28" spans="1:4" x14ac:dyDescent="0.2">
      <c r="A28" s="15"/>
      <c r="B28" s="18" t="s">
        <v>24</v>
      </c>
      <c r="C28" s="19"/>
      <c r="D28" s="8">
        <v>4</v>
      </c>
    </row>
    <row r="29" spans="1:4" x14ac:dyDescent="0.2">
      <c r="A29" s="15"/>
      <c r="B29" s="18" t="s">
        <v>25</v>
      </c>
      <c r="C29" s="19"/>
      <c r="D29" s="8">
        <v>0.5</v>
      </c>
    </row>
    <row r="30" spans="1:4" x14ac:dyDescent="0.2">
      <c r="A30" s="15"/>
      <c r="B30" s="18" t="s">
        <v>26</v>
      </c>
      <c r="C30" s="19"/>
      <c r="D30" s="8">
        <v>2</v>
      </c>
    </row>
    <row r="31" spans="1:4" x14ac:dyDescent="0.2">
      <c r="A31" s="15"/>
      <c r="B31" s="18"/>
      <c r="C31" s="19"/>
      <c r="D31" s="8"/>
    </row>
    <row r="32" spans="1:4" x14ac:dyDescent="0.2">
      <c r="A32" s="15"/>
      <c r="B32" s="2" t="s">
        <v>6</v>
      </c>
      <c r="C32" s="3" t="s">
        <v>5</v>
      </c>
      <c r="D32" s="9">
        <f>SUM(D27:D31)</f>
        <v>7</v>
      </c>
    </row>
    <row r="33" spans="1:4" ht="54.75" customHeight="1" x14ac:dyDescent="0.2">
      <c r="A33" s="23"/>
      <c r="B33" s="24" t="s">
        <v>27</v>
      </c>
      <c r="C33" s="25"/>
      <c r="D33" s="26"/>
    </row>
    <row r="34" spans="1:4" ht="12.75" customHeight="1" x14ac:dyDescent="0.2">
      <c r="A34" s="14">
        <v>46030</v>
      </c>
      <c r="B34" s="16" t="s">
        <v>28</v>
      </c>
      <c r="C34" s="17"/>
      <c r="D34" s="7">
        <v>3</v>
      </c>
    </row>
    <row r="35" spans="1:4" x14ac:dyDescent="0.2">
      <c r="A35" s="15"/>
      <c r="B35" s="18" t="s">
        <v>29</v>
      </c>
      <c r="C35" s="19"/>
      <c r="D35" s="8">
        <v>0.5</v>
      </c>
    </row>
    <row r="36" spans="1:4" x14ac:dyDescent="0.2">
      <c r="A36" s="15"/>
      <c r="B36" s="18"/>
      <c r="C36" s="19"/>
      <c r="D36" s="8"/>
    </row>
    <row r="37" spans="1:4" x14ac:dyDescent="0.2">
      <c r="A37" s="15"/>
      <c r="B37" s="18"/>
      <c r="C37" s="19"/>
      <c r="D37" s="8"/>
    </row>
    <row r="38" spans="1:4" x14ac:dyDescent="0.2">
      <c r="A38" s="15"/>
      <c r="B38" s="18"/>
      <c r="C38" s="19"/>
      <c r="D38" s="8"/>
    </row>
    <row r="39" spans="1:4" x14ac:dyDescent="0.2">
      <c r="A39" s="15"/>
      <c r="B39" s="2" t="s">
        <v>6</v>
      </c>
      <c r="C39" s="3" t="s">
        <v>5</v>
      </c>
      <c r="D39" s="9">
        <f>SUM(D34:D38)</f>
        <v>3.5</v>
      </c>
    </row>
    <row r="40" spans="1:4" ht="59.25" customHeight="1" x14ac:dyDescent="0.2">
      <c r="A40" s="23"/>
      <c r="B40" s="24" t="s">
        <v>30</v>
      </c>
      <c r="C40" s="25"/>
      <c r="D40" s="26"/>
    </row>
    <row r="41" spans="1:4" ht="12.75" customHeight="1" x14ac:dyDescent="0.2">
      <c r="A41" s="14">
        <v>46031</v>
      </c>
      <c r="B41" s="16" t="s">
        <v>28</v>
      </c>
      <c r="C41" s="17"/>
      <c r="D41" s="7">
        <v>5</v>
      </c>
    </row>
    <row r="42" spans="1:4" x14ac:dyDescent="0.2">
      <c r="A42" s="15"/>
      <c r="B42" s="18" t="s">
        <v>31</v>
      </c>
      <c r="C42" s="19"/>
      <c r="D42" s="8">
        <v>2</v>
      </c>
    </row>
    <row r="43" spans="1:4" x14ac:dyDescent="0.2">
      <c r="A43" s="15"/>
      <c r="B43" s="18"/>
      <c r="C43" s="19"/>
      <c r="D43" s="8"/>
    </row>
    <row r="44" spans="1:4" x14ac:dyDescent="0.2">
      <c r="A44" s="15"/>
      <c r="B44" s="18"/>
      <c r="C44" s="19"/>
      <c r="D44" s="8"/>
    </row>
    <row r="45" spans="1:4" x14ac:dyDescent="0.2">
      <c r="A45" s="15"/>
      <c r="B45" s="18"/>
      <c r="C45" s="19"/>
      <c r="D45" s="8"/>
    </row>
    <row r="46" spans="1:4" x14ac:dyDescent="0.2">
      <c r="A46" s="15"/>
      <c r="B46" s="2" t="s">
        <v>6</v>
      </c>
      <c r="C46" s="3" t="s">
        <v>5</v>
      </c>
      <c r="D46" s="9">
        <f>SUM(D41:D45)</f>
        <v>7</v>
      </c>
    </row>
    <row r="47" spans="1:4" ht="47.25" customHeight="1" x14ac:dyDescent="0.2">
      <c r="A47" s="23"/>
      <c r="B47" s="24" t="s">
        <v>32</v>
      </c>
      <c r="C47" s="25"/>
      <c r="D47" s="26"/>
    </row>
    <row r="48" spans="1:4" ht="12.75" customHeight="1" x14ac:dyDescent="0.2">
      <c r="A48" s="14">
        <v>46037</v>
      </c>
      <c r="B48" s="16" t="s">
        <v>33</v>
      </c>
      <c r="C48" s="17"/>
      <c r="D48" s="7">
        <v>3.5</v>
      </c>
    </row>
    <row r="49" spans="1:4" x14ac:dyDescent="0.2">
      <c r="A49" s="15"/>
      <c r="B49" s="18"/>
      <c r="C49" s="19"/>
      <c r="D49" s="8"/>
    </row>
    <row r="50" spans="1:4" x14ac:dyDescent="0.2">
      <c r="A50" s="15"/>
      <c r="B50" s="18"/>
      <c r="C50" s="19"/>
      <c r="D50" s="8"/>
    </row>
    <row r="51" spans="1:4" x14ac:dyDescent="0.2">
      <c r="A51" s="15"/>
      <c r="B51" s="18"/>
      <c r="C51" s="19"/>
      <c r="D51" s="8"/>
    </row>
    <row r="52" spans="1:4" x14ac:dyDescent="0.2">
      <c r="A52" s="15"/>
      <c r="B52" s="18"/>
      <c r="C52" s="19"/>
      <c r="D52" s="8"/>
    </row>
    <row r="53" spans="1:4" x14ac:dyDescent="0.2">
      <c r="A53" s="15"/>
      <c r="B53" s="2" t="s">
        <v>6</v>
      </c>
      <c r="C53" s="3" t="s">
        <v>5</v>
      </c>
      <c r="D53" s="9">
        <f>SUM(D48:D52)</f>
        <v>3.5</v>
      </c>
    </row>
    <row r="54" spans="1:4" ht="35.25" customHeight="1" x14ac:dyDescent="0.2">
      <c r="A54" s="23"/>
      <c r="B54" s="24" t="s">
        <v>36</v>
      </c>
      <c r="C54" s="25"/>
      <c r="D54" s="26"/>
    </row>
    <row r="55" spans="1:4" ht="12.75" customHeight="1" x14ac:dyDescent="0.2">
      <c r="A55" s="14">
        <v>46038</v>
      </c>
      <c r="B55" s="16" t="s">
        <v>34</v>
      </c>
      <c r="C55" s="17"/>
      <c r="D55" s="7">
        <v>2</v>
      </c>
    </row>
    <row r="56" spans="1:4" x14ac:dyDescent="0.2">
      <c r="A56" s="15"/>
      <c r="B56" s="18" t="s">
        <v>35</v>
      </c>
      <c r="C56" s="19"/>
      <c r="D56" s="8">
        <v>1.5</v>
      </c>
    </row>
    <row r="57" spans="1:4" x14ac:dyDescent="0.2">
      <c r="A57" s="15"/>
      <c r="B57" s="18"/>
      <c r="C57" s="19"/>
      <c r="D57" s="8"/>
    </row>
    <row r="58" spans="1:4" x14ac:dyDescent="0.2">
      <c r="A58" s="15"/>
      <c r="B58" s="18"/>
      <c r="C58" s="19"/>
      <c r="D58" s="8"/>
    </row>
    <row r="59" spans="1:4" x14ac:dyDescent="0.2">
      <c r="A59" s="15"/>
      <c r="B59" s="18"/>
      <c r="C59" s="19"/>
      <c r="D59" s="8"/>
    </row>
    <row r="60" spans="1:4" x14ac:dyDescent="0.2">
      <c r="A60" s="15"/>
      <c r="B60" s="2" t="s">
        <v>6</v>
      </c>
      <c r="C60" s="3" t="s">
        <v>5</v>
      </c>
      <c r="D60" s="9">
        <f>SUM(D55:D59)</f>
        <v>3.5</v>
      </c>
    </row>
    <row r="61" spans="1:4" ht="33" customHeight="1" x14ac:dyDescent="0.2">
      <c r="A61" s="23"/>
      <c r="B61" s="24" t="s">
        <v>37</v>
      </c>
      <c r="C61" s="25"/>
      <c r="D61" s="26"/>
    </row>
    <row r="62" spans="1:4" ht="12.75" customHeight="1" x14ac:dyDescent="0.2">
      <c r="A62" s="14"/>
      <c r="B62" s="16"/>
      <c r="C62" s="17"/>
      <c r="D62" s="7"/>
    </row>
    <row r="63" spans="1:4" x14ac:dyDescent="0.2">
      <c r="A63" s="15"/>
      <c r="B63" s="18"/>
      <c r="C63" s="19"/>
      <c r="D63" s="8"/>
    </row>
    <row r="64" spans="1:4" x14ac:dyDescent="0.2">
      <c r="A64" s="15"/>
      <c r="B64" s="18"/>
      <c r="C64" s="19"/>
      <c r="D64" s="8"/>
    </row>
    <row r="65" spans="1:4" x14ac:dyDescent="0.2">
      <c r="A65" s="15"/>
      <c r="B65" s="18"/>
      <c r="C65" s="19"/>
      <c r="D65" s="8"/>
    </row>
    <row r="66" spans="1:4" x14ac:dyDescent="0.2">
      <c r="A66" s="15"/>
      <c r="B66" s="18"/>
      <c r="C66" s="19"/>
      <c r="D66" s="8"/>
    </row>
    <row r="67" spans="1:4" x14ac:dyDescent="0.2">
      <c r="A67" s="15"/>
      <c r="B67" s="2" t="s">
        <v>6</v>
      </c>
      <c r="C67" s="3" t="s">
        <v>5</v>
      </c>
      <c r="D67" s="9">
        <f>SUM(D62:D66)</f>
        <v>0</v>
      </c>
    </row>
    <row r="68" spans="1:4" ht="24.95" customHeight="1" x14ac:dyDescent="0.2">
      <c r="A68" s="15"/>
      <c r="B68" s="20"/>
      <c r="C68" s="21"/>
      <c r="D68" s="22"/>
    </row>
    <row r="69" spans="1:4" ht="12.75" customHeight="1" x14ac:dyDescent="0.2">
      <c r="A69" s="14"/>
      <c r="B69" s="16"/>
      <c r="C69" s="17"/>
      <c r="D69" s="7"/>
    </row>
    <row r="70" spans="1:4" x14ac:dyDescent="0.2">
      <c r="A70" s="15"/>
      <c r="B70" s="18"/>
      <c r="C70" s="19"/>
      <c r="D70" s="8"/>
    </row>
    <row r="71" spans="1:4" x14ac:dyDescent="0.2">
      <c r="A71" s="15"/>
      <c r="B71" s="18"/>
      <c r="C71" s="19"/>
      <c r="D71" s="8"/>
    </row>
    <row r="72" spans="1:4" x14ac:dyDescent="0.2">
      <c r="A72" s="15"/>
      <c r="B72" s="18"/>
      <c r="C72" s="19"/>
      <c r="D72" s="8"/>
    </row>
    <row r="73" spans="1:4" x14ac:dyDescent="0.2">
      <c r="A73" s="15"/>
      <c r="B73" s="18"/>
      <c r="C73" s="19"/>
      <c r="D73" s="8"/>
    </row>
    <row r="74" spans="1:4" x14ac:dyDescent="0.2">
      <c r="A74" s="15"/>
      <c r="B74" s="2" t="s">
        <v>6</v>
      </c>
      <c r="C74" s="3" t="s">
        <v>5</v>
      </c>
      <c r="D74" s="9">
        <f>SUM(D69:D73)</f>
        <v>0</v>
      </c>
    </row>
    <row r="75" spans="1:4" ht="24.95" customHeight="1" x14ac:dyDescent="0.2">
      <c r="A75" s="23"/>
      <c r="B75" s="24"/>
      <c r="C75" s="25"/>
      <c r="D75" s="26"/>
    </row>
    <row r="76" spans="1:4" ht="12.75" customHeight="1" x14ac:dyDescent="0.2">
      <c r="A76" s="14"/>
      <c r="B76" s="16"/>
      <c r="C76" s="17"/>
      <c r="D76" s="7"/>
    </row>
    <row r="77" spans="1:4" x14ac:dyDescent="0.2">
      <c r="A77" s="15"/>
      <c r="B77" s="18"/>
      <c r="C77" s="19"/>
      <c r="D77" s="8"/>
    </row>
    <row r="78" spans="1:4" x14ac:dyDescent="0.2">
      <c r="A78" s="15"/>
      <c r="B78" s="18"/>
      <c r="C78" s="19"/>
      <c r="D78" s="8"/>
    </row>
    <row r="79" spans="1:4" x14ac:dyDescent="0.2">
      <c r="A79" s="15"/>
      <c r="B79" s="18"/>
      <c r="C79" s="19"/>
      <c r="D79" s="8"/>
    </row>
    <row r="80" spans="1:4" x14ac:dyDescent="0.2">
      <c r="A80" s="15"/>
      <c r="B80" s="18"/>
      <c r="C80" s="19"/>
      <c r="D80" s="8"/>
    </row>
    <row r="81" spans="1:4" x14ac:dyDescent="0.2">
      <c r="A81" s="15"/>
      <c r="B81" s="2" t="s">
        <v>6</v>
      </c>
      <c r="C81" s="3" t="s">
        <v>5</v>
      </c>
      <c r="D81" s="9">
        <f>SUM(D76:D80)</f>
        <v>0</v>
      </c>
    </row>
    <row r="82" spans="1:4" ht="24.95" customHeight="1" x14ac:dyDescent="0.2">
      <c r="A82" s="23"/>
      <c r="B82" s="24"/>
      <c r="C82" s="25"/>
      <c r="D82" s="26"/>
    </row>
    <row r="83" spans="1:4" ht="12" customHeight="1" x14ac:dyDescent="0.2">
      <c r="A83" s="11"/>
      <c r="B83" s="10"/>
      <c r="C83" s="3" t="s">
        <v>7</v>
      </c>
      <c r="D83" s="12">
        <f>D11+D18+D25+D32+D39+D46+D53+D60+D67+D74+D81</f>
        <v>38.5</v>
      </c>
    </row>
    <row r="84" spans="1:4" x14ac:dyDescent="0.2">
      <c r="A84" s="13" t="s">
        <v>0</v>
      </c>
      <c r="B84" s="13"/>
      <c r="C84" s="13"/>
      <c r="D84" s="13"/>
    </row>
  </sheetData>
  <mergeCells count="82">
    <mergeCell ref="A20:A26"/>
    <mergeCell ref="B20:C20"/>
    <mergeCell ref="B21:C21"/>
    <mergeCell ref="B23:C23"/>
    <mergeCell ref="B24:C24"/>
    <mergeCell ref="B26:D26"/>
    <mergeCell ref="B22:C22"/>
    <mergeCell ref="B54:D54"/>
    <mergeCell ref="A55:A61"/>
    <mergeCell ref="B55:C55"/>
    <mergeCell ref="B56:C56"/>
    <mergeCell ref="B57:C57"/>
    <mergeCell ref="B58:C58"/>
    <mergeCell ref="B59:C59"/>
    <mergeCell ref="B61:D61"/>
    <mergeCell ref="B48:C48"/>
    <mergeCell ref="B49:C49"/>
    <mergeCell ref="B50:C50"/>
    <mergeCell ref="B51:C51"/>
    <mergeCell ref="B52:C52"/>
    <mergeCell ref="A76:A82"/>
    <mergeCell ref="B76:C76"/>
    <mergeCell ref="B77:C77"/>
    <mergeCell ref="B78:C78"/>
    <mergeCell ref="B79:C79"/>
    <mergeCell ref="B80:C80"/>
    <mergeCell ref="B82:D82"/>
    <mergeCell ref="A69:A75"/>
    <mergeCell ref="B69:C69"/>
    <mergeCell ref="B70:C70"/>
    <mergeCell ref="B71:C71"/>
    <mergeCell ref="B72:C72"/>
    <mergeCell ref="B73:C73"/>
    <mergeCell ref="B75:D75"/>
    <mergeCell ref="B40:D40"/>
    <mergeCell ref="A62:A68"/>
    <mergeCell ref="B62:C62"/>
    <mergeCell ref="B63:C63"/>
    <mergeCell ref="B64:C64"/>
    <mergeCell ref="B65:C65"/>
    <mergeCell ref="B66:C66"/>
    <mergeCell ref="B68:D68"/>
    <mergeCell ref="A41:A47"/>
    <mergeCell ref="B41:C41"/>
    <mergeCell ref="B42:C42"/>
    <mergeCell ref="B43:C43"/>
    <mergeCell ref="B44:C44"/>
    <mergeCell ref="B45:C45"/>
    <mergeCell ref="B47:D47"/>
    <mergeCell ref="A48:A54"/>
    <mergeCell ref="B34:C34"/>
    <mergeCell ref="B35:C35"/>
    <mergeCell ref="B36:C36"/>
    <mergeCell ref="B37:C37"/>
    <mergeCell ref="B38:C38"/>
    <mergeCell ref="B7:C7"/>
    <mergeCell ref="B9:C9"/>
    <mergeCell ref="B10:C10"/>
    <mergeCell ref="A6:A12"/>
    <mergeCell ref="B8:C8"/>
    <mergeCell ref="B12:D12"/>
    <mergeCell ref="A1:D1"/>
    <mergeCell ref="B4:C5"/>
    <mergeCell ref="B6:C6"/>
    <mergeCell ref="A2:C2"/>
    <mergeCell ref="A4:A5"/>
    <mergeCell ref="A84:D84"/>
    <mergeCell ref="A13:A19"/>
    <mergeCell ref="B13:C13"/>
    <mergeCell ref="B14:C14"/>
    <mergeCell ref="B15:C15"/>
    <mergeCell ref="B16:C16"/>
    <mergeCell ref="B17:C17"/>
    <mergeCell ref="B19:D19"/>
    <mergeCell ref="A27:A33"/>
    <mergeCell ref="B27:C27"/>
    <mergeCell ref="B28:C28"/>
    <mergeCell ref="B29:C29"/>
    <mergeCell ref="B30:C30"/>
    <mergeCell ref="B31:C31"/>
    <mergeCell ref="B33:D33"/>
    <mergeCell ref="A34:A40"/>
  </mergeCells>
  <conditionalFormatting sqref="D6:D11">
    <cfRule type="containsText" dxfId="23" priority="23" operator="containsText" text="Terminé">
      <formula>NOT(ISERROR(SEARCH("Terminé",D6)))</formula>
    </cfRule>
    <cfRule type="containsText" dxfId="22" priority="24" operator="containsText" text="En cours">
      <formula>NOT(ISERROR(SEARCH("En cours",D6)))</formula>
    </cfRule>
  </conditionalFormatting>
  <conditionalFormatting sqref="D13:D18">
    <cfRule type="containsText" dxfId="21" priority="21" operator="containsText" text="Terminé">
      <formula>NOT(ISERROR(SEARCH("Terminé",D13)))</formula>
    </cfRule>
    <cfRule type="containsText" dxfId="20" priority="22" operator="containsText" text="En cours">
      <formula>NOT(ISERROR(SEARCH("En cours",D13)))</formula>
    </cfRule>
  </conditionalFormatting>
  <conditionalFormatting sqref="D20:D25">
    <cfRule type="containsText" dxfId="19" priority="3" operator="containsText" text="Terminé">
      <formula>NOT(ISERROR(SEARCH("Terminé",D20)))</formula>
    </cfRule>
    <cfRule type="containsText" dxfId="18" priority="4" operator="containsText" text="En cours">
      <formula>NOT(ISERROR(SEARCH("En cours",D20)))</formula>
    </cfRule>
  </conditionalFormatting>
  <conditionalFormatting sqref="D27:D32">
    <cfRule type="containsText" dxfId="17" priority="19" operator="containsText" text="Terminé">
      <formula>NOT(ISERROR(SEARCH("Terminé",D27)))</formula>
    </cfRule>
    <cfRule type="containsText" dxfId="16" priority="20" operator="containsText" text="En cours">
      <formula>NOT(ISERROR(SEARCH("En cours",D27)))</formula>
    </cfRule>
  </conditionalFormatting>
  <conditionalFormatting sqref="D34:D39">
    <cfRule type="containsText" dxfId="15" priority="17" operator="containsText" text="Terminé">
      <formula>NOT(ISERROR(SEARCH("Terminé",D34)))</formula>
    </cfRule>
    <cfRule type="containsText" dxfId="14" priority="18" operator="containsText" text="En cours">
      <formula>NOT(ISERROR(SEARCH("En cours",D34)))</formula>
    </cfRule>
  </conditionalFormatting>
  <conditionalFormatting sqref="D41:D46">
    <cfRule type="containsText" dxfId="13" priority="9" operator="containsText" text="Terminé">
      <formula>NOT(ISERROR(SEARCH("Terminé",D41)))</formula>
    </cfRule>
    <cfRule type="containsText" dxfId="12" priority="10" operator="containsText" text="En cours">
      <formula>NOT(ISERROR(SEARCH("En cours",D41)))</formula>
    </cfRule>
  </conditionalFormatting>
  <conditionalFormatting sqref="D48:D53">
    <cfRule type="containsText" dxfId="11" priority="7" operator="containsText" text="Terminé">
      <formula>NOT(ISERROR(SEARCH("Terminé",D48)))</formula>
    </cfRule>
    <cfRule type="containsText" dxfId="10" priority="8" operator="containsText" text="En cours">
      <formula>NOT(ISERROR(SEARCH("En cours",D48)))</formula>
    </cfRule>
  </conditionalFormatting>
  <conditionalFormatting sqref="D55:D60">
    <cfRule type="containsText" dxfId="9" priority="5" operator="containsText" text="Terminé">
      <formula>NOT(ISERROR(SEARCH("Terminé",D55)))</formula>
    </cfRule>
    <cfRule type="containsText" dxfId="8" priority="6" operator="containsText" text="En cours">
      <formula>NOT(ISERROR(SEARCH("En cours",D55)))</formula>
    </cfRule>
  </conditionalFormatting>
  <conditionalFormatting sqref="D62:D67">
    <cfRule type="containsText" dxfId="7" priority="15" operator="containsText" text="Terminé">
      <formula>NOT(ISERROR(SEARCH("Terminé",D62)))</formula>
    </cfRule>
    <cfRule type="containsText" dxfId="6" priority="16" operator="containsText" text="En cours">
      <formula>NOT(ISERROR(SEARCH("En cours",D62)))</formula>
    </cfRule>
  </conditionalFormatting>
  <conditionalFormatting sqref="D69:D74">
    <cfRule type="containsText" dxfId="5" priority="13" operator="containsText" text="Terminé">
      <formula>NOT(ISERROR(SEARCH("Terminé",D69)))</formula>
    </cfRule>
    <cfRule type="containsText" dxfId="4" priority="14" operator="containsText" text="En cours">
      <formula>NOT(ISERROR(SEARCH("En cours",D69)))</formula>
    </cfRule>
  </conditionalFormatting>
  <conditionalFormatting sqref="D76:D81">
    <cfRule type="containsText" dxfId="3" priority="11" operator="containsText" text="Terminé">
      <formula>NOT(ISERROR(SEARCH("Terminé",D76)))</formula>
    </cfRule>
    <cfRule type="containsText" dxfId="2" priority="12" operator="containsText" text="En cours">
      <formula>NOT(ISERROR(SEARCH("En cours",D76)))</formula>
    </cfRule>
  </conditionalFormatting>
  <conditionalFormatting sqref="D83">
    <cfRule type="containsText" dxfId="1" priority="1" operator="containsText" text="Terminé">
      <formula>NOT(ISERROR(SEARCH("Terminé",D83)))</formula>
    </cfRule>
    <cfRule type="containsText" dxfId="0" priority="2" operator="containsText" text="En cours">
      <formula>NOT(ISERROR(SEARCH("En cours",D83)))</formula>
    </cfRule>
  </conditionalFormatting>
  <printOptions horizontalCentered="1"/>
  <pageMargins left="0.47244094488188981" right="0.15748031496062992" top="1.4566929133858268" bottom="0.43307086614173229" header="0.31496062992125984" footer="0.19685039370078741"/>
  <pageSetup paperSize="9" orientation="portrait" r:id="rId1"/>
  <headerFooter alignWithMargins="0">
    <oddHeader>&amp;L&amp;"Arial,Gras"&amp;14Informaticien/-ne CFC&amp;"Arial,Normal"&amp;10
Travail pratique individuel 2023 (TPI)&amp;R&amp;"Arial,Gras"&amp;14&amp;G</oddHeader>
    <oddFooter>&amp;L&amp;8&amp;F&amp;R&amp;8Page &amp;P/&amp;N</oddFooter>
  </headerFooter>
  <rowBreaks count="2" manualBreakCount="2">
    <brk id="47" max="16383" man="1"/>
    <brk id="83" max="3" man="1"/>
  </rowBreaks>
  <legacyDrawingHF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afaa137-8a18-4908-97f4-35fc924e5a91">
      <Terms xmlns="http://schemas.microsoft.com/office/infopath/2007/PartnerControls"/>
    </lcf76f155ced4ddcb4097134ff3c332f>
    <TaxCatchAll xmlns="3b60234b-33e6-42ae-ae88-ba7d4a3eedfd"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BD0882D7B13D249A8B88997E24B9140" ma:contentTypeVersion="14" ma:contentTypeDescription="Crée un document." ma:contentTypeScope="" ma:versionID="3865b25f2bf2a035dbe7787239b3f11c">
  <xsd:schema xmlns:xsd="http://www.w3.org/2001/XMLSchema" xmlns:xs="http://www.w3.org/2001/XMLSchema" xmlns:p="http://schemas.microsoft.com/office/2006/metadata/properties" xmlns:ns2="8afaa137-8a18-4908-97f4-35fc924e5a91" xmlns:ns3="3b60234b-33e6-42ae-ae88-ba7d4a3eedfd" targetNamespace="http://schemas.microsoft.com/office/2006/metadata/properties" ma:root="true" ma:fieldsID="718f9f7ddd2530d56a17ab9424d0abda" ns2:_="" ns3:_="">
    <xsd:import namespace="8afaa137-8a18-4908-97f4-35fc924e5a91"/>
    <xsd:import namespace="3b60234b-33e6-42ae-ae88-ba7d4a3eedf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GenerationTime" minOccurs="0"/>
                <xsd:element ref="ns2:MediaServiceEventHashCode" minOccurs="0"/>
                <xsd:element ref="ns2:MediaLengthInSeconds" minOccurs="0"/>
                <xsd:element ref="ns2:MediaServiceDateTaken" minOccurs="0"/>
                <xsd:element ref="ns2:MediaServiceLocation" minOccurs="0"/>
                <xsd:element ref="ns2:lcf76f155ced4ddcb4097134ff3c332f" minOccurs="0"/>
                <xsd:element ref="ns3:TaxCatchAll"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afaa137-8a18-4908-97f4-35fc924e5a9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Location" ma:index="16" nillable="true" ma:displayName="Location" ma:indexed="true" ma:internalName="MediaServiceLocation" ma:readOnly="true">
      <xsd:simpleType>
        <xsd:restriction base="dms:Text"/>
      </xsd:simpleType>
    </xsd:element>
    <xsd:element name="lcf76f155ced4ddcb4097134ff3c332f" ma:index="18" nillable="true" ma:taxonomy="true" ma:internalName="lcf76f155ced4ddcb4097134ff3c332f" ma:taxonomyFieldName="MediaServiceImageTags" ma:displayName="Balises d’images" ma:readOnly="false" ma:fieldId="{5cf76f15-5ced-4ddc-b409-7134ff3c332f}" ma:taxonomyMulti="true" ma:sspId="fbd933d8-63e4-4f7e-90f6-66429bb13b47"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b60234b-33e6-42ae-ae88-ba7d4a3eedfd"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de1ad492-b571-416b-b6e8-cea3505811d7}" ma:internalName="TaxCatchAll" ma:showField="CatchAllData" ma:web="3b60234b-33e6-42ae-ae88-ba7d4a3eedf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8C0AFF7-6D45-4588-A3CE-0506D82134A8}">
  <ds:schemaRefs>
    <ds:schemaRef ds:uri="http://schemas.microsoft.com/sharepoint/v3/contenttype/forms"/>
  </ds:schemaRefs>
</ds:datastoreItem>
</file>

<file path=customXml/itemProps2.xml><?xml version="1.0" encoding="utf-8"?>
<ds:datastoreItem xmlns:ds="http://schemas.openxmlformats.org/officeDocument/2006/customXml" ds:itemID="{F1CED954-0C0B-4246-88BC-C0C5C061E08E}">
  <ds:schemaRefs>
    <ds:schemaRef ds:uri="http://schemas.microsoft.com/office/2006/metadata/properties"/>
    <ds:schemaRef ds:uri="http://schemas.microsoft.com/office/infopath/2007/PartnerControls"/>
    <ds:schemaRef ds:uri="b54f96d8-6138-4ba9-8b5a-da1062324abb"/>
    <ds:schemaRef ds:uri="0ecde9c3-6951-4ee0-98d0-295e535ef6cd"/>
    <ds:schemaRef ds:uri="8afaa137-8a18-4908-97f4-35fc924e5a91"/>
    <ds:schemaRef ds:uri="3b60234b-33e6-42ae-ae88-ba7d4a3eedfd"/>
  </ds:schemaRefs>
</ds:datastoreItem>
</file>

<file path=customXml/itemProps3.xml><?xml version="1.0" encoding="utf-8"?>
<ds:datastoreItem xmlns:ds="http://schemas.openxmlformats.org/officeDocument/2006/customXml" ds:itemID="{84AEF82B-2BAE-481D-A319-B09ADD6915E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afaa137-8a18-4908-97f4-35fc924e5a91"/>
    <ds:schemaRef ds:uri="3b60234b-33e6-42ae-ae88-ba7d4a3eedf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1</vt:i4>
      </vt:variant>
      <vt:variant>
        <vt:lpstr>Plages nommées</vt:lpstr>
      </vt:variant>
      <vt:variant>
        <vt:i4>2</vt:i4>
      </vt:variant>
    </vt:vector>
  </HeadingPairs>
  <TitlesOfParts>
    <vt:vector size="3" baseType="lpstr">
      <vt:lpstr>Journal_NOM_PRENOM</vt:lpstr>
      <vt:lpstr>Journal_NOM_PRENOM!Impression_des_titres</vt:lpstr>
      <vt:lpstr>Journal_NOM_PRENOM!Zone_d_impression</vt:lpstr>
    </vt:vector>
  </TitlesOfParts>
  <Company>EMF</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Guisolan Christian</dc:creator>
  <cp:lastModifiedBy>Pasquier Théo</cp:lastModifiedBy>
  <cp:lastPrinted>2022-01-05T15:16:39Z</cp:lastPrinted>
  <dcterms:created xsi:type="dcterms:W3CDTF">2002-03-11T12:50:08Z</dcterms:created>
  <dcterms:modified xsi:type="dcterms:W3CDTF">2026-01-16T10:18:39Z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0x0101006BD0882D7B13D249A8B88997E24B9140</vt:lpwstr>
  </property>
  <property fmtid="{D5CDD505-2E9C-101B-9397-08002B2CF9AE}" pid="3" name="MediaServiceImageTags">
    <vt:lpwstr/>
  </property>
</Properties>
</file>