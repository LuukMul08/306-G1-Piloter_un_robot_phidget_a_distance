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426"/>
  <workbookPr checkCompatibility="1"/>
  <mc:AlternateContent xmlns:mc="http://schemas.openxmlformats.org/markup-compatibility/2006">
    <mc:Choice Requires="x15">
      <x15ac:absPath xmlns:x15ac="http://schemas.microsoft.com/office/spreadsheetml/2010/11/ac" url="D:\306-G1-Piloter_un_robot_phidget_a_distance\documentation\"/>
    </mc:Choice>
  </mc:AlternateContent>
  <xr:revisionPtr revIDLastSave="0" documentId="13_ncr:1_{8A54D216-45D3-4FEF-A40F-C3E215FA1435}" xr6:coauthVersionLast="47" xr6:coauthVersionMax="47" xr10:uidLastSave="{00000000-0000-0000-0000-000000000000}"/>
  <bookViews>
    <workbookView xWindow="-120" yWindow="-120" windowWidth="29040" windowHeight="15720" xr2:uid="{00000000-000D-0000-FFFF-FFFF00000000}"/>
  </bookViews>
  <sheets>
    <sheet name="Journal_PIRESDONOSE_ANDREI" sheetId="8" r:id="rId1"/>
  </sheets>
  <definedNames>
    <definedName name="_xlnm._FilterDatabase" localSheetId="0" hidden="1">Journal_PIRESDONOSE_ANDREI!$A$5:$HI$5</definedName>
    <definedName name="_xlnm.Print_Titles" localSheetId="0">Journal_PIRESDONOSE_ANDREI!$B:$D,Journal_PIRESDONOSE_ANDREI!$1:$5</definedName>
    <definedName name="_xlnm.Print_Area" localSheetId="0">Journal_PIRESDONOSE_ANDREI!$A$1:$D$83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18" i="8" l="1"/>
  <c r="D25" i="8"/>
  <c r="D60" i="8"/>
  <c r="D53" i="8"/>
  <c r="D46" i="8"/>
  <c r="D81" i="8"/>
  <c r="D74" i="8"/>
  <c r="D67" i="8"/>
  <c r="D39" i="8"/>
  <c r="D32" i="8"/>
  <c r="D11" i="8"/>
  <c r="D83" i="8" l="1"/>
</calcChain>
</file>

<file path=xl/sharedStrings.xml><?xml version="1.0" encoding="utf-8"?>
<sst xmlns="http://schemas.openxmlformats.org/spreadsheetml/2006/main" count="54" uniqueCount="33">
  <si>
    <t>Insérer les lignes au-dessus de celle-ci !</t>
  </si>
  <si>
    <t>Date</t>
  </si>
  <si>
    <t>Travail effectué</t>
  </si>
  <si>
    <t>[H.h]</t>
  </si>
  <si>
    <t>Temps</t>
  </si>
  <si>
    <t>Total &gt;</t>
  </si>
  <si>
    <r>
      <t xml:space="preserve">Réflexion personnelle </t>
    </r>
    <r>
      <rPr>
        <sz val="8"/>
        <rFont val="Calibri"/>
        <family val="2"/>
      </rPr>
      <t>↓↓↓</t>
    </r>
  </si>
  <si>
    <t>Total général &gt;</t>
  </si>
  <si>
    <t>Business Case</t>
  </si>
  <si>
    <r>
      <t>Projet :</t>
    </r>
    <r>
      <rPr>
        <b/>
        <sz val="14"/>
        <rFont val="Arial"/>
        <family val="2"/>
      </rPr>
      <t xml:space="preserve"> Piloter un robot phidget à distance</t>
    </r>
    <r>
      <rPr>
        <sz val="16"/>
        <rFont val="Arial"/>
        <family val="2"/>
      </rPr>
      <t xml:space="preserve">                  </t>
    </r>
  </si>
  <si>
    <t>Andrei Pires Donose</t>
  </si>
  <si>
    <t>J'ai passé toute l'après midi à faire un bon business Case pour avoir une grande notion de quoi va parler notre projet pour qu'on le puisse ensuite le dévélopper.</t>
  </si>
  <si>
    <t>Fait la connexion entre le phidget et le PC hôte</t>
  </si>
  <si>
    <t>Renseignement sur les moyens de connectivité entre le serveur phidget et le frontend</t>
  </si>
  <si>
    <t>Fait le site web pour afficher les informations du robot minimalistes</t>
  </si>
  <si>
    <t xml:space="preserve">Fait le manuel d'utilisateur </t>
  </si>
  <si>
    <t>Dans la matinée, j’ai commencé par connecter le Phidget au PC hôte et vérifier que la communication fonctionnait bien. Ensuite, je me suis renseigné sur les différentes méthodes de connectivité entre le serveur Phidget et le frontend, afin de comprendre comment transmettre efficacement les données au site web.
Dans l' après-midi, j’ai créé un site web minimaliste pour afficher les informations du robot, avec une interface simple et claire. Pour finir, j’ai rédigé le manuel d’utilisateur, expliquant l’installation, la connexion au Phidget et l’utilisation du site. J'ai trouvé que ça allait bien mais on faisait pas correctement le Kanban et la documentation. J'ai été très focus à mon code et l'expérimentation.</t>
  </si>
  <si>
    <t>Fait la Definition of Done"</t>
  </si>
  <si>
    <t>Fait la structure du projet avec les bons dossiers</t>
  </si>
  <si>
    <t>Aider à la compréhension du problème de connexion sans fil de la manette</t>
  </si>
  <si>
    <t>Dans la journée, j’ai travaillé sur la Definition of Done pour mieux comprendre à quel moment une tâche peut être considérée comme terminée. J’ai ensuite mis en place une structure de projet avec les bons dossiers pour améliorer l’organisation. J’ai également  aidé à mieux comprendre le problème de connexion sans fil lié à la manette. J’ai constaté que je me suis amélioré dans l’utilisation de la méthode agile, surtout en documentant davantage chaque étape et en utilisant mieux le Kanban.</t>
  </si>
  <si>
    <t>Fait l'interface de la page Web et d'aide</t>
  </si>
  <si>
    <t>Fait le schéma de structure du système</t>
  </si>
  <si>
    <t>Ce matin, j’ai commencé par réaliser le schéma de structure du système sur Visio. J’ai ensuite commencé à créer la page HTML de l’application en y intégrant du CSS et du JavaScript.
Dans l’après-midi, j’ai poursuivi le développement de l’application, mais j’ai rencontré plusieurs bugs liés au fonctionnement du clavier avec ma page HTML.
Globalement, j’ai trouvé que la méthode agile et l’utilisation du Kanban facilitaient bien l’avancement du projet, même si j’ai rencontré quelques difficultés avec le site web.</t>
  </si>
  <si>
    <t>Développer la page d'aide pour la manette</t>
  </si>
  <si>
    <t>Début de développement de la page du dashboard</t>
  </si>
  <si>
    <t>Dans la journée, j’ai travaillé sur la page d’aide afin d’accompagner les utilisateurs qui ont des difficultés à comprendre comment déplacer le robot à l’aide des touches de la manette. J’ai ensuite commencé à développer la page du dashboard, permettant de se connecter à n’importe quel Phidget en renseignant son adresse IP et son port.</t>
  </si>
  <si>
    <t>Documentation sur les protocols de test.</t>
  </si>
  <si>
    <t>Développer la page dashboard.</t>
  </si>
  <si>
    <t>Réorganiser le frontend.</t>
  </si>
  <si>
    <t>Ce matin, j’ai commencé par développer la page du dashboard pour que l'utilisateur puisse se connecter au backend, puis vers le réseau Phidget. Dans l’après-midi, j’ai poursuivi la documentation sur les protocoles de test de chaque page. J'ai aussi réorganisé le frontend en changeant les noms et les dossiers pour garder une bonne structure. Globalement, j’ai trouvé que ça s'est bien passé aujourd'hui.</t>
  </si>
  <si>
    <t>Aujourd'hui, j'ai finalisé les protocoles de test. J'ai pris le temps d'optimiser la structure pour éliminer les redondances et simplifier la lecture. Le résultat est désormais plus condensé et efficace. Globalement, la journée a été productive.</t>
  </si>
  <si>
    <t>Tester l'application avec Luuk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</si>
</sst>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
    <numFmt numFmtId="165" formatCode="0.0"/>
  </numFmts>
  <fonts count="11" x14ac:knownFonts="1">
    <font>
      <sz val="10"/>
      <name val="Arial"/>
    </font>
    <font>
      <b/>
      <sz val="10"/>
      <name val="Arial"/>
      <family val="2"/>
    </font>
    <font>
      <b/>
      <sz val="14"/>
      <name val="Arial"/>
      <family val="2"/>
    </font>
    <font>
      <sz val="10"/>
      <color rgb="FFFF0000"/>
      <name val="Arial"/>
      <family val="2"/>
    </font>
    <font>
      <sz val="8"/>
      <name val="Arial"/>
      <family val="2"/>
    </font>
    <font>
      <sz val="16"/>
      <name val="Arial"/>
      <family val="2"/>
    </font>
    <font>
      <sz val="14"/>
      <name val="Arial"/>
      <family val="2"/>
    </font>
    <font>
      <b/>
      <sz val="16"/>
      <name val="Arial"/>
      <family val="2"/>
    </font>
    <font>
      <sz val="9"/>
      <name val="Arial"/>
      <family val="2"/>
    </font>
    <font>
      <sz val="8"/>
      <name val="Calibri"/>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style="medium">
        <color indexed="64"/>
      </top>
      <bottom/>
      <diagonal/>
    </border>
    <border>
      <left style="thin">
        <color indexed="64"/>
      </left>
      <right/>
      <top/>
      <bottom style="medium">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s>
  <cellStyleXfs count="1">
    <xf numFmtId="0" fontId="0" fillId="0" borderId="0"/>
  </cellStyleXfs>
  <cellXfs count="41">
    <xf numFmtId="0" fontId="0" fillId="0" borderId="0" xfId="0"/>
    <xf numFmtId="0" fontId="0" fillId="0" borderId="0" xfId="0" applyProtection="1">
      <protection locked="0"/>
    </xf>
    <xf numFmtId="0" fontId="4" fillId="3" borderId="10" xfId="0" applyFont="1" applyFill="1" applyBorder="1" applyAlignment="1" applyProtection="1">
      <alignment horizontal="left" vertical="center"/>
      <protection locked="0"/>
    </xf>
    <xf numFmtId="0" fontId="4" fillId="3" borderId="16" xfId="0" applyFont="1" applyFill="1" applyBorder="1" applyAlignment="1" applyProtection="1">
      <alignment horizontal="right" vertical="center"/>
      <protection locked="0"/>
    </xf>
    <xf numFmtId="0" fontId="6"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8" fillId="0" borderId="4" xfId="0" applyFont="1" applyBorder="1" applyAlignment="1" applyProtection="1">
      <alignment horizontal="center"/>
      <protection locked="0"/>
    </xf>
    <xf numFmtId="165" fontId="4" fillId="0" borderId="7" xfId="0" applyNumberFormat="1" applyFont="1" applyBorder="1" applyAlignment="1" applyProtection="1">
      <alignment horizontal="center" vertical="center"/>
      <protection locked="0"/>
    </xf>
    <xf numFmtId="165" fontId="4" fillId="0" borderId="5" xfId="0" applyNumberFormat="1" applyFont="1" applyBorder="1" applyAlignment="1" applyProtection="1">
      <alignment horizontal="center" vertical="center"/>
      <protection locked="0"/>
    </xf>
    <xf numFmtId="165" fontId="4" fillId="0" borderId="1" xfId="0" applyNumberFormat="1" applyFont="1" applyBorder="1" applyAlignment="1" applyProtection="1">
      <alignment horizontal="center" vertical="center"/>
      <protection locked="0"/>
    </xf>
    <xf numFmtId="0" fontId="4" fillId="0" borderId="0" xfId="0" applyFont="1" applyAlignment="1" applyProtection="1">
      <alignment horizontal="left" vertical="top" wrapText="1"/>
      <protection locked="0"/>
    </xf>
    <xf numFmtId="164" fontId="0" fillId="0" borderId="0" xfId="0" applyNumberFormat="1" applyAlignment="1" applyProtection="1">
      <alignment horizontal="center" vertical="center"/>
      <protection locked="0"/>
    </xf>
    <xf numFmtId="165" fontId="10" fillId="0" borderId="1" xfId="0" applyNumberFormat="1" applyFont="1" applyBorder="1" applyAlignment="1" applyProtection="1">
      <alignment horizontal="center" vertical="center"/>
      <protection locked="0"/>
    </xf>
    <xf numFmtId="0" fontId="3" fillId="2" borderId="0" xfId="0" applyFont="1" applyFill="1" applyAlignment="1" applyProtection="1">
      <alignment horizontal="center"/>
      <protection locked="0"/>
    </xf>
    <xf numFmtId="164" fontId="0" fillId="0" borderId="7" xfId="0" applyNumberFormat="1" applyBorder="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0" fontId="4" fillId="0" borderId="10" xfId="0" applyFont="1" applyBorder="1" applyAlignment="1">
      <alignment horizontal="left" vertical="center"/>
    </xf>
    <xf numFmtId="0" fontId="4" fillId="0" borderId="16" xfId="0" applyFont="1" applyBorder="1" applyAlignment="1">
      <alignment horizontal="left" vertical="center"/>
    </xf>
    <xf numFmtId="0" fontId="4" fillId="0" borderId="11" xfId="0" applyFont="1" applyBorder="1" applyAlignment="1">
      <alignment horizontal="left" vertical="center"/>
    </xf>
    <xf numFmtId="0" fontId="4" fillId="0" borderId="6" xfId="0" applyFont="1" applyBorder="1" applyAlignment="1">
      <alignment horizontal="left" vertical="center"/>
    </xf>
    <xf numFmtId="0" fontId="4" fillId="0" borderId="11" xfId="0" applyFont="1" applyBorder="1" applyAlignment="1" applyProtection="1">
      <alignment horizontal="left" vertical="center"/>
      <protection locked="0"/>
    </xf>
    <xf numFmtId="0" fontId="4" fillId="0" borderId="6" xfId="0" applyFont="1" applyBorder="1" applyAlignment="1" applyProtection="1">
      <alignment horizontal="left" vertical="center"/>
      <protection locked="0"/>
    </xf>
    <xf numFmtId="0" fontId="4" fillId="0" borderId="11" xfId="0" applyFont="1" applyBorder="1" applyAlignment="1" applyProtection="1">
      <alignment horizontal="left" vertical="top" wrapText="1"/>
      <protection locked="0"/>
    </xf>
    <xf numFmtId="0" fontId="4" fillId="0" borderId="0" xfId="0" applyFont="1" applyAlignment="1" applyProtection="1">
      <alignment horizontal="left" vertical="top" wrapText="1"/>
      <protection locked="0"/>
    </xf>
    <xf numFmtId="0" fontId="4" fillId="0" borderId="6" xfId="0" applyFont="1" applyBorder="1" applyAlignment="1" applyProtection="1">
      <alignment horizontal="left" vertical="top" wrapText="1"/>
      <protection locked="0"/>
    </xf>
    <xf numFmtId="164" fontId="0" fillId="0" borderId="2" xfId="0" applyNumberFormat="1" applyBorder="1" applyAlignment="1" applyProtection="1">
      <alignment horizontal="center" vertical="center"/>
      <protection locked="0"/>
    </xf>
    <xf numFmtId="0" fontId="4" fillId="0" borderId="10" xfId="0" applyFont="1" applyBorder="1" applyAlignment="1" applyProtection="1">
      <alignment horizontal="left" vertical="center"/>
      <protection locked="0"/>
    </xf>
    <xf numFmtId="0" fontId="4" fillId="0" borderId="16" xfId="0" applyFont="1" applyBorder="1" applyAlignment="1" applyProtection="1">
      <alignment horizontal="left" vertical="center"/>
      <protection locked="0"/>
    </xf>
    <xf numFmtId="0" fontId="4" fillId="0" borderId="12" xfId="0" applyFont="1" applyBorder="1" applyAlignment="1" applyProtection="1">
      <alignment horizontal="left" vertical="top" wrapText="1"/>
      <protection locked="0"/>
    </xf>
    <xf numFmtId="0" fontId="4" fillId="0" borderId="17" xfId="0" applyFont="1" applyBorder="1" applyAlignment="1" applyProtection="1">
      <alignment horizontal="left" vertical="top" wrapText="1"/>
      <protection locked="0"/>
    </xf>
    <xf numFmtId="0" fontId="4" fillId="0" borderId="15" xfId="0" applyFont="1" applyBorder="1" applyAlignment="1" applyProtection="1">
      <alignment horizontal="left" vertical="top" wrapText="1"/>
      <protection locked="0"/>
    </xf>
    <xf numFmtId="0" fontId="7" fillId="0" borderId="0" xfId="0" applyFont="1" applyAlignment="1" applyProtection="1">
      <alignment horizontal="left"/>
      <protection locked="0"/>
    </xf>
    <xf numFmtId="0" fontId="1" fillId="0" borderId="10"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1" fillId="0" borderId="9" xfId="0" applyFont="1" applyBorder="1" applyAlignment="1" applyProtection="1">
      <alignment horizontal="left" vertical="center"/>
      <protection locked="0"/>
    </xf>
    <xf numFmtId="0" fontId="1" fillId="0" borderId="14" xfId="0" applyFont="1" applyBorder="1" applyAlignment="1" applyProtection="1">
      <alignment horizontal="left" vertical="center"/>
      <protection locked="0"/>
    </xf>
    <xf numFmtId="0" fontId="4" fillId="0" borderId="8" xfId="0" applyFont="1" applyBorder="1" applyAlignment="1" applyProtection="1">
      <alignment horizontal="left" vertical="center"/>
      <protection locked="0"/>
    </xf>
    <xf numFmtId="0" fontId="4" fillId="0" borderId="13" xfId="0" applyFont="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6" xfId="0" applyFont="1" applyBorder="1" applyAlignment="1" applyProtection="1">
      <alignment horizontal="left"/>
      <protection locked="0"/>
    </xf>
    <xf numFmtId="164" fontId="0" fillId="0" borderId="3" xfId="0" applyNumberFormat="1" applyBorder="1" applyAlignment="1" applyProtection="1">
      <alignment horizontal="center" vertical="center"/>
      <protection locked="0"/>
    </xf>
  </cellXfs>
  <cellStyles count="1">
    <cellStyle name="Normal" xfId="0" builtinId="0"/>
  </cellStyles>
  <dxfs count="24">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png"/></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4"/>
  <sheetViews>
    <sheetView tabSelected="1" zoomScale="115" zoomScaleNormal="115" zoomScaleSheetLayoutView="115" workbookViewId="0">
      <pane ySplit="1" topLeftCell="A36" activePane="bottomLeft"/>
      <selection activeCell="D5" sqref="A5:XFD5"/>
      <selection pane="bottomLeft" activeCell="D57" sqref="D57"/>
    </sheetView>
  </sheetViews>
  <sheetFormatPr baseColWidth="10" defaultColWidth="11.5703125" defaultRowHeight="12.75" x14ac:dyDescent="0.2"/>
  <cols>
    <col min="1" max="1" width="11.5703125" style="1"/>
    <col min="2" max="3" width="31.7109375" style="1" customWidth="1"/>
    <col min="4" max="4" width="15.7109375" style="1" customWidth="1"/>
    <col min="5" max="217" width="9.140625" style="1" customWidth="1"/>
    <col min="218" max="16384" width="11.5703125" style="1"/>
  </cols>
  <sheetData>
    <row r="1" spans="1:4" ht="20.25" x14ac:dyDescent="0.3">
      <c r="A1" s="31" t="s">
        <v>9</v>
      </c>
      <c r="B1" s="31"/>
      <c r="C1" s="31"/>
      <c r="D1" s="31"/>
    </row>
    <row r="2" spans="1:4" ht="18" x14ac:dyDescent="0.25">
      <c r="A2" s="38" t="s">
        <v>10</v>
      </c>
      <c r="B2" s="38"/>
      <c r="C2" s="39"/>
      <c r="D2" s="4">
        <v>2</v>
      </c>
    </row>
    <row r="4" spans="1:4" ht="12" customHeight="1" x14ac:dyDescent="0.2">
      <c r="A4" s="32" t="s">
        <v>1</v>
      </c>
      <c r="B4" s="32" t="s">
        <v>2</v>
      </c>
      <c r="C4" s="33"/>
      <c r="D4" s="5" t="s">
        <v>4</v>
      </c>
    </row>
    <row r="5" spans="1:4" ht="13.5" thickBot="1" x14ac:dyDescent="0.25">
      <c r="A5" s="34"/>
      <c r="B5" s="34"/>
      <c r="C5" s="35"/>
      <c r="D5" s="6" t="s">
        <v>3</v>
      </c>
    </row>
    <row r="6" spans="1:4" ht="12.75" customHeight="1" x14ac:dyDescent="0.2">
      <c r="A6" s="40">
        <v>45996</v>
      </c>
      <c r="B6" s="36" t="s">
        <v>8</v>
      </c>
      <c r="C6" s="37"/>
      <c r="D6" s="7">
        <v>3.5</v>
      </c>
    </row>
    <row r="7" spans="1:4" x14ac:dyDescent="0.2">
      <c r="A7" s="15"/>
      <c r="B7" s="20"/>
      <c r="C7" s="21"/>
      <c r="D7" s="8"/>
    </row>
    <row r="8" spans="1:4" x14ac:dyDescent="0.2">
      <c r="A8" s="15"/>
      <c r="B8" s="20"/>
      <c r="C8" s="21"/>
      <c r="D8" s="8"/>
    </row>
    <row r="9" spans="1:4" x14ac:dyDescent="0.2">
      <c r="A9" s="15"/>
      <c r="B9" s="20"/>
      <c r="C9" s="21"/>
      <c r="D9" s="8"/>
    </row>
    <row r="10" spans="1:4" x14ac:dyDescent="0.2">
      <c r="A10" s="15"/>
      <c r="B10" s="20"/>
      <c r="C10" s="21"/>
      <c r="D10" s="8"/>
    </row>
    <row r="11" spans="1:4" x14ac:dyDescent="0.2">
      <c r="A11" s="15"/>
      <c r="B11" s="2" t="s">
        <v>6</v>
      </c>
      <c r="C11" s="3" t="s">
        <v>5</v>
      </c>
      <c r="D11" s="9">
        <f>SUM(D6:D10)</f>
        <v>3.5</v>
      </c>
    </row>
    <row r="12" spans="1:4" ht="24.95" customHeight="1" x14ac:dyDescent="0.2">
      <c r="A12" s="15"/>
      <c r="B12" s="22" t="s">
        <v>11</v>
      </c>
      <c r="C12" s="23"/>
      <c r="D12" s="24"/>
    </row>
    <row r="13" spans="1:4" ht="12.75" customHeight="1" x14ac:dyDescent="0.2">
      <c r="A13" s="14">
        <v>46003</v>
      </c>
      <c r="B13" s="16" t="s">
        <v>12</v>
      </c>
      <c r="C13" s="17"/>
      <c r="D13" s="7">
        <v>1</v>
      </c>
    </row>
    <row r="14" spans="1:4" x14ac:dyDescent="0.2">
      <c r="A14" s="15"/>
      <c r="B14" s="18" t="s">
        <v>13</v>
      </c>
      <c r="C14" s="19"/>
      <c r="D14" s="8">
        <v>2.5</v>
      </c>
    </row>
    <row r="15" spans="1:4" x14ac:dyDescent="0.2">
      <c r="A15" s="15"/>
      <c r="B15" s="18" t="s">
        <v>14</v>
      </c>
      <c r="C15" s="19"/>
      <c r="D15" s="8">
        <v>2.5</v>
      </c>
    </row>
    <row r="16" spans="1:4" x14ac:dyDescent="0.2">
      <c r="A16" s="15"/>
      <c r="B16" s="18" t="s">
        <v>15</v>
      </c>
      <c r="C16" s="19"/>
      <c r="D16" s="8">
        <v>1</v>
      </c>
    </row>
    <row r="17" spans="1:4" x14ac:dyDescent="0.2">
      <c r="A17" s="15"/>
      <c r="B17" s="20"/>
      <c r="C17" s="21"/>
      <c r="D17" s="8"/>
    </row>
    <row r="18" spans="1:4" x14ac:dyDescent="0.2">
      <c r="A18" s="15"/>
      <c r="B18" s="2" t="s">
        <v>6</v>
      </c>
      <c r="C18" s="3" t="s">
        <v>5</v>
      </c>
      <c r="D18" s="9">
        <f>SUM(D13:D17)</f>
        <v>7</v>
      </c>
    </row>
    <row r="19" spans="1:4" ht="87.75" customHeight="1" x14ac:dyDescent="0.2">
      <c r="A19" s="15"/>
      <c r="B19" s="22" t="s">
        <v>16</v>
      </c>
      <c r="C19" s="23"/>
      <c r="D19" s="24"/>
    </row>
    <row r="20" spans="1:4" ht="12.75" customHeight="1" x14ac:dyDescent="0.2">
      <c r="A20" s="14">
        <v>46009</v>
      </c>
      <c r="B20" s="26" t="s">
        <v>17</v>
      </c>
      <c r="C20" s="27"/>
      <c r="D20" s="7">
        <v>1.5</v>
      </c>
    </row>
    <row r="21" spans="1:4" x14ac:dyDescent="0.2">
      <c r="A21" s="15"/>
      <c r="B21" s="20" t="s">
        <v>18</v>
      </c>
      <c r="C21" s="21"/>
      <c r="D21" s="8">
        <v>0.5</v>
      </c>
    </row>
    <row r="22" spans="1:4" x14ac:dyDescent="0.2">
      <c r="A22" s="15"/>
      <c r="B22" s="20" t="s">
        <v>19</v>
      </c>
      <c r="C22" s="21"/>
      <c r="D22" s="8">
        <v>1.5</v>
      </c>
    </row>
    <row r="23" spans="1:4" x14ac:dyDescent="0.2">
      <c r="A23" s="15"/>
      <c r="B23" s="20"/>
      <c r="C23" s="21"/>
      <c r="D23" s="8"/>
    </row>
    <row r="24" spans="1:4" x14ac:dyDescent="0.2">
      <c r="A24" s="15"/>
      <c r="B24" s="20"/>
      <c r="C24" s="21"/>
      <c r="D24" s="8"/>
    </row>
    <row r="25" spans="1:4" x14ac:dyDescent="0.2">
      <c r="A25" s="15"/>
      <c r="B25" s="2" t="s">
        <v>6</v>
      </c>
      <c r="C25" s="3" t="s">
        <v>5</v>
      </c>
      <c r="D25" s="9">
        <f>SUM(D20:D24)</f>
        <v>3.5</v>
      </c>
    </row>
    <row r="26" spans="1:4" ht="60.75" customHeight="1" x14ac:dyDescent="0.2">
      <c r="A26" s="15"/>
      <c r="B26" s="22" t="s">
        <v>20</v>
      </c>
      <c r="C26" s="23"/>
      <c r="D26" s="24"/>
    </row>
    <row r="27" spans="1:4" ht="12.75" customHeight="1" x14ac:dyDescent="0.2">
      <c r="A27" s="14">
        <v>46010</v>
      </c>
      <c r="B27" s="26" t="s">
        <v>21</v>
      </c>
      <c r="C27" s="27"/>
      <c r="D27" s="7">
        <v>6</v>
      </c>
    </row>
    <row r="28" spans="1:4" x14ac:dyDescent="0.2">
      <c r="A28" s="15"/>
      <c r="B28" s="20" t="s">
        <v>22</v>
      </c>
      <c r="C28" s="21"/>
      <c r="D28" s="8">
        <v>1</v>
      </c>
    </row>
    <row r="29" spans="1:4" x14ac:dyDescent="0.2">
      <c r="A29" s="15"/>
      <c r="B29" s="20"/>
      <c r="C29" s="21"/>
      <c r="D29" s="8"/>
    </row>
    <row r="30" spans="1:4" x14ac:dyDescent="0.2">
      <c r="A30" s="15"/>
      <c r="B30" s="20"/>
      <c r="C30" s="21"/>
      <c r="D30" s="8"/>
    </row>
    <row r="31" spans="1:4" x14ac:dyDescent="0.2">
      <c r="A31" s="15"/>
      <c r="B31" s="20"/>
      <c r="C31" s="21"/>
      <c r="D31" s="8"/>
    </row>
    <row r="32" spans="1:4" x14ac:dyDescent="0.2">
      <c r="A32" s="15"/>
      <c r="B32" s="2" t="s">
        <v>6</v>
      </c>
      <c r="C32" s="3" t="s">
        <v>5</v>
      </c>
      <c r="D32" s="9">
        <f>SUM(D27:D31)</f>
        <v>7</v>
      </c>
    </row>
    <row r="33" spans="1:4" ht="85.5" customHeight="1" x14ac:dyDescent="0.2">
      <c r="A33" s="25"/>
      <c r="B33" s="28" t="s">
        <v>23</v>
      </c>
      <c r="C33" s="29"/>
      <c r="D33" s="30"/>
    </row>
    <row r="34" spans="1:4" ht="12.75" customHeight="1" x14ac:dyDescent="0.2">
      <c r="A34" s="14">
        <v>46030</v>
      </c>
      <c r="B34" s="26" t="s">
        <v>24</v>
      </c>
      <c r="C34" s="27"/>
      <c r="D34" s="7">
        <v>2.5</v>
      </c>
    </row>
    <row r="35" spans="1:4" x14ac:dyDescent="0.2">
      <c r="A35" s="15"/>
      <c r="B35" s="20" t="s">
        <v>25</v>
      </c>
      <c r="C35" s="21"/>
      <c r="D35" s="8">
        <v>1</v>
      </c>
    </row>
    <row r="36" spans="1:4" x14ac:dyDescent="0.2">
      <c r="A36" s="15"/>
      <c r="B36" s="20"/>
      <c r="C36" s="21"/>
      <c r="D36" s="8"/>
    </row>
    <row r="37" spans="1:4" x14ac:dyDescent="0.2">
      <c r="A37" s="15"/>
      <c r="B37" s="20"/>
      <c r="C37" s="21"/>
      <c r="D37" s="8"/>
    </row>
    <row r="38" spans="1:4" x14ac:dyDescent="0.2">
      <c r="A38" s="15"/>
      <c r="B38" s="20"/>
      <c r="C38" s="21"/>
      <c r="D38" s="8"/>
    </row>
    <row r="39" spans="1:4" x14ac:dyDescent="0.2">
      <c r="A39" s="15"/>
      <c r="B39" s="2" t="s">
        <v>6</v>
      </c>
      <c r="C39" s="3" t="s">
        <v>5</v>
      </c>
      <c r="D39" s="9">
        <f>SUM(D34:D38)</f>
        <v>3.5</v>
      </c>
    </row>
    <row r="40" spans="1:4" ht="54.75" customHeight="1" x14ac:dyDescent="0.2">
      <c r="A40" s="25"/>
      <c r="B40" s="28" t="s">
        <v>26</v>
      </c>
      <c r="C40" s="29"/>
      <c r="D40" s="30"/>
    </row>
    <row r="41" spans="1:4" ht="12.75" customHeight="1" x14ac:dyDescent="0.2">
      <c r="A41" s="14">
        <v>46031</v>
      </c>
      <c r="B41" s="26" t="s">
        <v>28</v>
      </c>
      <c r="C41" s="27"/>
      <c r="D41" s="7">
        <v>3.5</v>
      </c>
    </row>
    <row r="42" spans="1:4" x14ac:dyDescent="0.2">
      <c r="A42" s="15"/>
      <c r="B42" s="20" t="s">
        <v>27</v>
      </c>
      <c r="C42" s="21"/>
      <c r="D42" s="8">
        <v>3</v>
      </c>
    </row>
    <row r="43" spans="1:4" x14ac:dyDescent="0.2">
      <c r="A43" s="15"/>
      <c r="B43" s="20" t="s">
        <v>29</v>
      </c>
      <c r="C43" s="21"/>
      <c r="D43" s="8">
        <v>0.5</v>
      </c>
    </row>
    <row r="44" spans="1:4" x14ac:dyDescent="0.2">
      <c r="A44" s="15"/>
      <c r="B44" s="20"/>
      <c r="C44" s="21"/>
      <c r="D44" s="8"/>
    </row>
    <row r="45" spans="1:4" x14ac:dyDescent="0.2">
      <c r="A45" s="15"/>
      <c r="B45" s="20"/>
      <c r="C45" s="21"/>
      <c r="D45" s="8"/>
    </row>
    <row r="46" spans="1:4" x14ac:dyDescent="0.2">
      <c r="A46" s="15"/>
      <c r="B46" s="2" t="s">
        <v>6</v>
      </c>
      <c r="C46" s="3" t="s">
        <v>5</v>
      </c>
      <c r="D46" s="9">
        <f>SUM(D41:D45)</f>
        <v>7</v>
      </c>
    </row>
    <row r="47" spans="1:4" ht="75" customHeight="1" x14ac:dyDescent="0.2">
      <c r="A47" s="25"/>
      <c r="B47" s="28" t="s">
        <v>30</v>
      </c>
      <c r="C47" s="29"/>
      <c r="D47" s="30"/>
    </row>
    <row r="48" spans="1:4" ht="12.75" customHeight="1" x14ac:dyDescent="0.2">
      <c r="A48" s="14">
        <v>46037</v>
      </c>
      <c r="B48" s="26" t="s">
        <v>27</v>
      </c>
      <c r="C48" s="27"/>
      <c r="D48" s="7">
        <v>3.5</v>
      </c>
    </row>
    <row r="49" spans="1:4" x14ac:dyDescent="0.2">
      <c r="A49" s="15"/>
      <c r="B49" s="20"/>
      <c r="C49" s="21"/>
      <c r="D49" s="8"/>
    </row>
    <row r="50" spans="1:4" x14ac:dyDescent="0.2">
      <c r="A50" s="15"/>
      <c r="B50" s="20"/>
      <c r="C50" s="21"/>
      <c r="D50" s="8"/>
    </row>
    <row r="51" spans="1:4" x14ac:dyDescent="0.2">
      <c r="A51" s="15"/>
      <c r="B51" s="20"/>
      <c r="C51" s="21"/>
      <c r="D51" s="8"/>
    </row>
    <row r="52" spans="1:4" x14ac:dyDescent="0.2">
      <c r="A52" s="15"/>
      <c r="B52" s="20"/>
      <c r="C52" s="21"/>
      <c r="D52" s="8"/>
    </row>
    <row r="53" spans="1:4" x14ac:dyDescent="0.2">
      <c r="A53" s="15"/>
      <c r="B53" s="2" t="s">
        <v>6</v>
      </c>
      <c r="C53" s="3" t="s">
        <v>5</v>
      </c>
      <c r="D53" s="9">
        <f>SUM(D48:D52)</f>
        <v>3.5</v>
      </c>
    </row>
    <row r="54" spans="1:4" ht="47.25" customHeight="1" x14ac:dyDescent="0.2">
      <c r="A54" s="25"/>
      <c r="B54" s="28" t="s">
        <v>31</v>
      </c>
      <c r="C54" s="29"/>
      <c r="D54" s="30"/>
    </row>
    <row r="55" spans="1:4" ht="12.75" customHeight="1" x14ac:dyDescent="0.2">
      <c r="A55" s="14">
        <v>46038</v>
      </c>
      <c r="B55" s="26" t="s">
        <v>32</v>
      </c>
      <c r="C55" s="27"/>
      <c r="D55" s="7">
        <v>0.5</v>
      </c>
    </row>
    <row r="56" spans="1:4" x14ac:dyDescent="0.2">
      <c r="A56" s="15"/>
      <c r="B56" s="20"/>
      <c r="C56" s="21"/>
      <c r="D56" s="8">
        <v>3</v>
      </c>
    </row>
    <row r="57" spans="1:4" x14ac:dyDescent="0.2">
      <c r="A57" s="15"/>
      <c r="B57" s="20"/>
      <c r="C57" s="21"/>
      <c r="D57" s="8"/>
    </row>
    <row r="58" spans="1:4" x14ac:dyDescent="0.2">
      <c r="A58" s="15"/>
      <c r="B58" s="20"/>
      <c r="C58" s="21"/>
      <c r="D58" s="8"/>
    </row>
    <row r="59" spans="1:4" x14ac:dyDescent="0.2">
      <c r="A59" s="15"/>
      <c r="B59" s="20"/>
      <c r="C59" s="21"/>
      <c r="D59" s="8"/>
    </row>
    <row r="60" spans="1:4" x14ac:dyDescent="0.2">
      <c r="A60" s="15"/>
      <c r="B60" s="2" t="s">
        <v>6</v>
      </c>
      <c r="C60" s="3" t="s">
        <v>5</v>
      </c>
      <c r="D60" s="9">
        <f>SUM(D55:D59)</f>
        <v>3.5</v>
      </c>
    </row>
    <row r="61" spans="1:4" ht="24.95" customHeight="1" x14ac:dyDescent="0.2">
      <c r="A61" s="25"/>
      <c r="B61" s="28"/>
      <c r="C61" s="29"/>
      <c r="D61" s="30"/>
    </row>
    <row r="62" spans="1:4" ht="12.75" customHeight="1" x14ac:dyDescent="0.2">
      <c r="A62" s="14"/>
      <c r="B62" s="26"/>
      <c r="C62" s="27"/>
      <c r="D62" s="7"/>
    </row>
    <row r="63" spans="1:4" x14ac:dyDescent="0.2">
      <c r="A63" s="15"/>
      <c r="B63" s="20"/>
      <c r="C63" s="21"/>
      <c r="D63" s="8"/>
    </row>
    <row r="64" spans="1:4" x14ac:dyDescent="0.2">
      <c r="A64" s="15"/>
      <c r="B64" s="20"/>
      <c r="C64" s="21"/>
      <c r="D64" s="8"/>
    </row>
    <row r="65" spans="1:4" x14ac:dyDescent="0.2">
      <c r="A65" s="15"/>
      <c r="B65" s="20"/>
      <c r="C65" s="21"/>
      <c r="D65" s="8"/>
    </row>
    <row r="66" spans="1:4" x14ac:dyDescent="0.2">
      <c r="A66" s="15"/>
      <c r="B66" s="20"/>
      <c r="C66" s="21"/>
      <c r="D66" s="8"/>
    </row>
    <row r="67" spans="1:4" x14ac:dyDescent="0.2">
      <c r="A67" s="15"/>
      <c r="B67" s="2" t="s">
        <v>6</v>
      </c>
      <c r="C67" s="3" t="s">
        <v>5</v>
      </c>
      <c r="D67" s="9">
        <f>SUM(D62:D66)</f>
        <v>0</v>
      </c>
    </row>
    <row r="68" spans="1:4" ht="24.95" customHeight="1" x14ac:dyDescent="0.2">
      <c r="A68" s="15"/>
      <c r="B68" s="22"/>
      <c r="C68" s="23"/>
      <c r="D68" s="24"/>
    </row>
    <row r="69" spans="1:4" ht="12.75" customHeight="1" x14ac:dyDescent="0.2">
      <c r="A69" s="14"/>
      <c r="B69" s="26"/>
      <c r="C69" s="27"/>
      <c r="D69" s="7"/>
    </row>
    <row r="70" spans="1:4" x14ac:dyDescent="0.2">
      <c r="A70" s="15"/>
      <c r="B70" s="20"/>
      <c r="C70" s="21"/>
      <c r="D70" s="8"/>
    </row>
    <row r="71" spans="1:4" x14ac:dyDescent="0.2">
      <c r="A71" s="15"/>
      <c r="B71" s="20"/>
      <c r="C71" s="21"/>
      <c r="D71" s="8"/>
    </row>
    <row r="72" spans="1:4" x14ac:dyDescent="0.2">
      <c r="A72" s="15"/>
      <c r="B72" s="20"/>
      <c r="C72" s="21"/>
      <c r="D72" s="8"/>
    </row>
    <row r="73" spans="1:4" x14ac:dyDescent="0.2">
      <c r="A73" s="15"/>
      <c r="B73" s="20"/>
      <c r="C73" s="21"/>
      <c r="D73" s="8"/>
    </row>
    <row r="74" spans="1:4" x14ac:dyDescent="0.2">
      <c r="A74" s="15"/>
      <c r="B74" s="2" t="s">
        <v>6</v>
      </c>
      <c r="C74" s="3" t="s">
        <v>5</v>
      </c>
      <c r="D74" s="9">
        <f>SUM(D69:D73)</f>
        <v>0</v>
      </c>
    </row>
    <row r="75" spans="1:4" ht="24.95" customHeight="1" x14ac:dyDescent="0.2">
      <c r="A75" s="25"/>
      <c r="B75" s="28"/>
      <c r="C75" s="29"/>
      <c r="D75" s="30"/>
    </row>
    <row r="76" spans="1:4" ht="12.75" customHeight="1" x14ac:dyDescent="0.2">
      <c r="A76" s="14"/>
      <c r="B76" s="26"/>
      <c r="C76" s="27"/>
      <c r="D76" s="7"/>
    </row>
    <row r="77" spans="1:4" x14ac:dyDescent="0.2">
      <c r="A77" s="15"/>
      <c r="B77" s="20"/>
      <c r="C77" s="21"/>
      <c r="D77" s="8"/>
    </row>
    <row r="78" spans="1:4" x14ac:dyDescent="0.2">
      <c r="A78" s="15"/>
      <c r="B78" s="20"/>
      <c r="C78" s="21"/>
      <c r="D78" s="8"/>
    </row>
    <row r="79" spans="1:4" x14ac:dyDescent="0.2">
      <c r="A79" s="15"/>
      <c r="B79" s="20"/>
      <c r="C79" s="21"/>
      <c r="D79" s="8"/>
    </row>
    <row r="80" spans="1:4" x14ac:dyDescent="0.2">
      <c r="A80" s="15"/>
      <c r="B80" s="20"/>
      <c r="C80" s="21"/>
      <c r="D80" s="8"/>
    </row>
    <row r="81" spans="1:4" x14ac:dyDescent="0.2">
      <c r="A81" s="15"/>
      <c r="B81" s="2" t="s">
        <v>6</v>
      </c>
      <c r="C81" s="3" t="s">
        <v>5</v>
      </c>
      <c r="D81" s="9">
        <f>SUM(D76:D80)</f>
        <v>0</v>
      </c>
    </row>
    <row r="82" spans="1:4" ht="24.95" customHeight="1" x14ac:dyDescent="0.2">
      <c r="A82" s="25"/>
      <c r="B82" s="28"/>
      <c r="C82" s="29"/>
      <c r="D82" s="30"/>
    </row>
    <row r="83" spans="1:4" ht="12" customHeight="1" x14ac:dyDescent="0.2">
      <c r="A83" s="11"/>
      <c r="B83" s="10"/>
      <c r="C83" s="3" t="s">
        <v>7</v>
      </c>
      <c r="D83" s="12">
        <f>D11+D18+D25+D32+D39+D46+D53+D60+D67+D74+D81</f>
        <v>38.5</v>
      </c>
    </row>
    <row r="84" spans="1:4" x14ac:dyDescent="0.2">
      <c r="A84" s="13" t="s">
        <v>0</v>
      </c>
      <c r="B84" s="13"/>
      <c r="C84" s="13"/>
      <c r="D84" s="13"/>
    </row>
  </sheetData>
  <mergeCells count="82">
    <mergeCell ref="A20:A26"/>
    <mergeCell ref="B20:C20"/>
    <mergeCell ref="B21:C21"/>
    <mergeCell ref="B22:C22"/>
    <mergeCell ref="B23:C23"/>
    <mergeCell ref="B24:C24"/>
    <mergeCell ref="B26:D26"/>
    <mergeCell ref="B54:D54"/>
    <mergeCell ref="A55:A61"/>
    <mergeCell ref="B55:C55"/>
    <mergeCell ref="B56:C56"/>
    <mergeCell ref="B57:C57"/>
    <mergeCell ref="B58:C58"/>
    <mergeCell ref="B59:C59"/>
    <mergeCell ref="B61:D61"/>
    <mergeCell ref="B48:C48"/>
    <mergeCell ref="B49:C49"/>
    <mergeCell ref="B50:C50"/>
    <mergeCell ref="B51:C51"/>
    <mergeCell ref="B52:C52"/>
    <mergeCell ref="A76:A82"/>
    <mergeCell ref="B76:C76"/>
    <mergeCell ref="B77:C77"/>
    <mergeCell ref="B78:C78"/>
    <mergeCell ref="B79:C79"/>
    <mergeCell ref="B80:C80"/>
    <mergeCell ref="B82:D82"/>
    <mergeCell ref="A69:A75"/>
    <mergeCell ref="B69:C69"/>
    <mergeCell ref="B70:C70"/>
    <mergeCell ref="B71:C71"/>
    <mergeCell ref="B72:C72"/>
    <mergeCell ref="B73:C73"/>
    <mergeCell ref="B75:D75"/>
    <mergeCell ref="B40:D40"/>
    <mergeCell ref="A62:A68"/>
    <mergeCell ref="B62:C62"/>
    <mergeCell ref="B63:C63"/>
    <mergeCell ref="B64:C64"/>
    <mergeCell ref="B65:C65"/>
    <mergeCell ref="B66:C66"/>
    <mergeCell ref="B68:D68"/>
    <mergeCell ref="A41:A47"/>
    <mergeCell ref="B41:C41"/>
    <mergeCell ref="B42:C42"/>
    <mergeCell ref="B43:C43"/>
    <mergeCell ref="B44:C44"/>
    <mergeCell ref="B45:C45"/>
    <mergeCell ref="B47:D47"/>
    <mergeCell ref="A48:A54"/>
    <mergeCell ref="B34:C34"/>
    <mergeCell ref="B35:C35"/>
    <mergeCell ref="B36:C36"/>
    <mergeCell ref="B37:C37"/>
    <mergeCell ref="B38:C38"/>
    <mergeCell ref="B7:C7"/>
    <mergeCell ref="B9:C9"/>
    <mergeCell ref="B10:C10"/>
    <mergeCell ref="A6:A12"/>
    <mergeCell ref="B8:C8"/>
    <mergeCell ref="B12:D12"/>
    <mergeCell ref="A1:D1"/>
    <mergeCell ref="B4:C5"/>
    <mergeCell ref="B6:C6"/>
    <mergeCell ref="A2:C2"/>
    <mergeCell ref="A4:A5"/>
    <mergeCell ref="A84:D84"/>
    <mergeCell ref="A13:A19"/>
    <mergeCell ref="B13:C13"/>
    <mergeCell ref="B14:C14"/>
    <mergeCell ref="B15:C15"/>
    <mergeCell ref="B16:C16"/>
    <mergeCell ref="B17:C17"/>
    <mergeCell ref="B19:D19"/>
    <mergeCell ref="A27:A33"/>
    <mergeCell ref="B27:C27"/>
    <mergeCell ref="B28:C28"/>
    <mergeCell ref="B29:C29"/>
    <mergeCell ref="B30:C30"/>
    <mergeCell ref="B31:C31"/>
    <mergeCell ref="B33:D33"/>
    <mergeCell ref="A34:A40"/>
  </mergeCells>
  <conditionalFormatting sqref="D6:D11">
    <cfRule type="containsText" dxfId="23" priority="25" operator="containsText" text="Terminé">
      <formula>NOT(ISERROR(SEARCH("Terminé",D6)))</formula>
    </cfRule>
    <cfRule type="containsText" dxfId="22" priority="26" operator="containsText" text="En cours">
      <formula>NOT(ISERROR(SEARCH("En cours",D6)))</formula>
    </cfRule>
  </conditionalFormatting>
  <conditionalFormatting sqref="D13:D18">
    <cfRule type="containsText" dxfId="21" priority="1" operator="containsText" text="Terminé">
      <formula>NOT(ISERROR(SEARCH("Terminé",D13)))</formula>
    </cfRule>
    <cfRule type="containsText" dxfId="20" priority="2" operator="containsText" text="En cours">
      <formula>NOT(ISERROR(SEARCH("En cours",D13)))</formula>
    </cfRule>
  </conditionalFormatting>
  <conditionalFormatting sqref="D20:D25">
    <cfRule type="containsText" dxfId="19" priority="5" operator="containsText" text="Terminé">
      <formula>NOT(ISERROR(SEARCH("Terminé",D20)))</formula>
    </cfRule>
    <cfRule type="containsText" dxfId="18" priority="6" operator="containsText" text="En cours">
      <formula>NOT(ISERROR(SEARCH("En cours",D20)))</formula>
    </cfRule>
  </conditionalFormatting>
  <conditionalFormatting sqref="D27:D32">
    <cfRule type="containsText" dxfId="17" priority="21" operator="containsText" text="Terminé">
      <formula>NOT(ISERROR(SEARCH("Terminé",D27)))</formula>
    </cfRule>
    <cfRule type="containsText" dxfId="16" priority="22" operator="containsText" text="En cours">
      <formula>NOT(ISERROR(SEARCH("En cours",D27)))</formula>
    </cfRule>
  </conditionalFormatting>
  <conditionalFormatting sqref="D34:D39">
    <cfRule type="containsText" dxfId="15" priority="19" operator="containsText" text="Terminé">
      <formula>NOT(ISERROR(SEARCH("Terminé",D34)))</formula>
    </cfRule>
    <cfRule type="containsText" dxfId="14" priority="20" operator="containsText" text="En cours">
      <formula>NOT(ISERROR(SEARCH("En cours",D34)))</formula>
    </cfRule>
  </conditionalFormatting>
  <conditionalFormatting sqref="D41:D46">
    <cfRule type="containsText" dxfId="13" priority="11" operator="containsText" text="Terminé">
      <formula>NOT(ISERROR(SEARCH("Terminé",D41)))</formula>
    </cfRule>
    <cfRule type="containsText" dxfId="12" priority="12" operator="containsText" text="En cours">
      <formula>NOT(ISERROR(SEARCH("En cours",D41)))</formula>
    </cfRule>
  </conditionalFormatting>
  <conditionalFormatting sqref="D48:D53">
    <cfRule type="containsText" dxfId="11" priority="9" operator="containsText" text="Terminé">
      <formula>NOT(ISERROR(SEARCH("Terminé",D48)))</formula>
    </cfRule>
    <cfRule type="containsText" dxfId="10" priority="10" operator="containsText" text="En cours">
      <formula>NOT(ISERROR(SEARCH("En cours",D48)))</formula>
    </cfRule>
  </conditionalFormatting>
  <conditionalFormatting sqref="D55:D60">
    <cfRule type="containsText" dxfId="9" priority="7" operator="containsText" text="Terminé">
      <formula>NOT(ISERROR(SEARCH("Terminé",D55)))</formula>
    </cfRule>
    <cfRule type="containsText" dxfId="8" priority="8" operator="containsText" text="En cours">
      <formula>NOT(ISERROR(SEARCH("En cours",D55)))</formula>
    </cfRule>
  </conditionalFormatting>
  <conditionalFormatting sqref="D62:D67">
    <cfRule type="containsText" dxfId="7" priority="17" operator="containsText" text="Terminé">
      <formula>NOT(ISERROR(SEARCH("Terminé",D62)))</formula>
    </cfRule>
    <cfRule type="containsText" dxfId="6" priority="18" operator="containsText" text="En cours">
      <formula>NOT(ISERROR(SEARCH("En cours",D62)))</formula>
    </cfRule>
  </conditionalFormatting>
  <conditionalFormatting sqref="D69:D74">
    <cfRule type="containsText" dxfId="5" priority="15" operator="containsText" text="Terminé">
      <formula>NOT(ISERROR(SEARCH("Terminé",D69)))</formula>
    </cfRule>
    <cfRule type="containsText" dxfId="4" priority="16" operator="containsText" text="En cours">
      <formula>NOT(ISERROR(SEARCH("En cours",D69)))</formula>
    </cfRule>
  </conditionalFormatting>
  <conditionalFormatting sqref="D76:D81">
    <cfRule type="containsText" dxfId="3" priority="13" operator="containsText" text="Terminé">
      <formula>NOT(ISERROR(SEARCH("Terminé",D76)))</formula>
    </cfRule>
    <cfRule type="containsText" dxfId="2" priority="14" operator="containsText" text="En cours">
      <formula>NOT(ISERROR(SEARCH("En cours",D76)))</formula>
    </cfRule>
  </conditionalFormatting>
  <conditionalFormatting sqref="D83">
    <cfRule type="containsText" dxfId="1" priority="3" operator="containsText" text="Terminé">
      <formula>NOT(ISERROR(SEARCH("Terminé",D83)))</formula>
    </cfRule>
    <cfRule type="containsText" dxfId="0" priority="4" operator="containsText" text="En cours">
      <formula>NOT(ISERROR(SEARCH("En cours",D83)))</formula>
    </cfRule>
  </conditionalFormatting>
  <printOptions horizontalCentered="1"/>
  <pageMargins left="0.47244094488188981" right="0.15748031496062992" top="1.4566929133858268" bottom="0.43307086614173229" header="0.31496062992125984" footer="0.19685039370078741"/>
  <pageSetup paperSize="9" orientation="portrait" r:id="rId1"/>
  <headerFooter alignWithMargins="0">
    <oddHeader>&amp;L&amp;"Arial,Gras"&amp;14Informaticien/-ne CFC&amp;"Arial,Normal"&amp;10
Travail pratique individuel 2023 (TPI)&amp;R&amp;"Arial,Gras"&amp;14&amp;G</oddHeader>
    <oddFooter>&amp;L&amp;8&amp;F&amp;R&amp;8Page &amp;P/&amp;N</oddFooter>
  </headerFooter>
  <rowBreaks count="2" manualBreakCount="2">
    <brk id="47" max="16383" man="1"/>
    <brk id="83" max="3" man="1"/>
  </rowBreaks>
  <legacyDrawingHF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afaa137-8a18-4908-97f4-35fc924e5a91">
      <Terms xmlns="http://schemas.microsoft.com/office/infopath/2007/PartnerControls"/>
    </lcf76f155ced4ddcb4097134ff3c332f>
    <TaxCatchAll xmlns="3b60234b-33e6-42ae-ae88-ba7d4a3eedfd"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6BD0882D7B13D249A8B88997E24B9140" ma:contentTypeVersion="14" ma:contentTypeDescription="Crée un document." ma:contentTypeScope="" ma:versionID="3865b25f2bf2a035dbe7787239b3f11c">
  <xsd:schema xmlns:xsd="http://www.w3.org/2001/XMLSchema" xmlns:xs="http://www.w3.org/2001/XMLSchema" xmlns:p="http://schemas.microsoft.com/office/2006/metadata/properties" xmlns:ns2="8afaa137-8a18-4908-97f4-35fc924e5a91" xmlns:ns3="3b60234b-33e6-42ae-ae88-ba7d4a3eedfd" targetNamespace="http://schemas.microsoft.com/office/2006/metadata/properties" ma:root="true" ma:fieldsID="718f9f7ddd2530d56a17ab9424d0abda" ns2:_="" ns3:_="">
    <xsd:import namespace="8afaa137-8a18-4908-97f4-35fc924e5a91"/>
    <xsd:import namespace="3b60234b-33e6-42ae-ae88-ba7d4a3eedfd"/>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GenerationTime" minOccurs="0"/>
                <xsd:element ref="ns2:MediaServiceEventHashCode" minOccurs="0"/>
                <xsd:element ref="ns2:MediaLengthInSeconds" minOccurs="0"/>
                <xsd:element ref="ns2:MediaServiceDateTaken"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afaa137-8a18-4908-97f4-35fc924e5a9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lcf76f155ced4ddcb4097134ff3c332f" ma:index="18" nillable="true" ma:taxonomy="true" ma:internalName="lcf76f155ced4ddcb4097134ff3c332f" ma:taxonomyFieldName="MediaServiceImageTags" ma:displayName="Balises d’images" ma:readOnly="false" ma:fieldId="{5cf76f15-5ced-4ddc-b409-7134ff3c332f}" ma:taxonomyMulti="true" ma:sspId="fbd933d8-63e4-4f7e-90f6-66429bb13b47"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60234b-33e6-42ae-ae88-ba7d4a3eedfd" elementFormDefault="qualified">
    <xsd:import namespace="http://schemas.microsoft.com/office/2006/documentManagement/types"/>
    <xsd:import namespace="http://schemas.microsoft.com/office/infopath/2007/PartnerControls"/>
    <xsd:element name="TaxCatchAll" ma:index="19" nillable="true" ma:displayName="Taxonomy Catch All Column" ma:hidden="true" ma:list="{de1ad492-b571-416b-b6e8-cea3505811d7}" ma:internalName="TaxCatchAll" ma:showField="CatchAllData" ma:web="3b60234b-33e6-42ae-ae88-ba7d4a3eedf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8C0AFF7-6D45-4588-A3CE-0506D82134A8}">
  <ds:schemaRefs>
    <ds:schemaRef ds:uri="http://schemas.microsoft.com/sharepoint/v3/contenttype/forms"/>
  </ds:schemaRefs>
</ds:datastoreItem>
</file>

<file path=customXml/itemProps2.xml><?xml version="1.0" encoding="utf-8"?>
<ds:datastoreItem xmlns:ds="http://schemas.openxmlformats.org/officeDocument/2006/customXml" ds:itemID="{F1CED954-0C0B-4246-88BC-C0C5C061E08E}">
  <ds:schemaRefs>
    <ds:schemaRef ds:uri="http://schemas.microsoft.com/office/2006/metadata/properties"/>
    <ds:schemaRef ds:uri="http://schemas.microsoft.com/office/infopath/2007/PartnerControls"/>
    <ds:schemaRef ds:uri="b54f96d8-6138-4ba9-8b5a-da1062324abb"/>
    <ds:schemaRef ds:uri="0ecde9c3-6951-4ee0-98d0-295e535ef6cd"/>
    <ds:schemaRef ds:uri="8afaa137-8a18-4908-97f4-35fc924e5a91"/>
    <ds:schemaRef ds:uri="3b60234b-33e6-42ae-ae88-ba7d4a3eedfd"/>
  </ds:schemaRefs>
</ds:datastoreItem>
</file>

<file path=customXml/itemProps3.xml><?xml version="1.0" encoding="utf-8"?>
<ds:datastoreItem xmlns:ds="http://schemas.openxmlformats.org/officeDocument/2006/customXml" ds:itemID="{84AEF82B-2BAE-481D-A319-B09ADD6915E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afaa137-8a18-4908-97f4-35fc924e5a91"/>
    <ds:schemaRef ds:uri="3b60234b-33e6-42ae-ae88-ba7d4a3eedf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Journal_PIRESDONOSE_ANDREI</vt:lpstr>
      <vt:lpstr>Journal_PIRESDONOSE_ANDREI!Impression_des_titres</vt:lpstr>
      <vt:lpstr>Journal_PIRESDONOSE_ANDREI!Zone_d_impression</vt:lpstr>
    </vt:vector>
  </TitlesOfParts>
  <Company>EMF</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Pires Donose Andrei</cp:lastModifiedBy>
  <cp:lastPrinted>2022-01-05T15:16:39Z</cp:lastPrinted>
  <dcterms:created xsi:type="dcterms:W3CDTF">2002-03-11T12:50:08Z</dcterms:created>
  <dcterms:modified xsi:type="dcterms:W3CDTF">2026-01-16T07:29:52Z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