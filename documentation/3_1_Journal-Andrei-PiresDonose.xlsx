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84EDD330-1720-4C23-A02D-AB74D0130EBE}" xr6:coauthVersionLast="47" xr6:coauthVersionMax="47" xr10:uidLastSave="{00000000-0000-0000-0000-000000000000}"/>
  <bookViews>
    <workbookView xWindow="-120" yWindow="-120"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2" i="8" l="1"/>
  <c r="D18" i="8"/>
  <c r="D25" i="8"/>
  <c r="D60" i="8"/>
  <c r="D53" i="8"/>
  <c r="D46" i="8"/>
  <c r="D39" i="8"/>
  <c r="D32" i="8"/>
  <c r="D11" i="8"/>
</calcChain>
</file>

<file path=xl/sharedStrings.xml><?xml version="1.0" encoding="utf-8"?>
<sst xmlns="http://schemas.openxmlformats.org/spreadsheetml/2006/main" count="50" uniqueCount="35">
  <si>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</si>
  <si>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</si>
  <si>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</si>
  <si>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</si>
  <si>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</si>
  <si>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</si>
  <si>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</si>
  <si>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</si>
  <si>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</si>
  <si>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</si>
  <si>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</si>
  <si>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</si>
  <si>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</si>
  <si>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</si>
  <si>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</si>
  <si>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</si>
  <si>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</si>
  <si>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</si>
  <si>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</si>
  <si>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</si>
  <si>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</si>
  <si>
    <t>Fait l'interface de la page Web et d'aide</t>
  </si>
  <si>
    <t>Fait le schéma de structure du système</t>
  </si>
  <si>
    <t>Ce matin, j’ai commencé par réaliser le schéma de structure du système sur Visio. J’ai ensuite commencé à créer la page HTML de l’application en y intégrant du CSS et du JavaScript.
Dans l’après-midi, j’ai poursuivi le développement de l’application, mais j’ai rencontré plusieurs bugs liés au fonctionnement du clavier avec ma page HTML.
Globalement, j’ai trouvé que la méthode agile et l’utilisation du Kanban facilitaient bien l’avancement du projet, même si j’ai rencontré quelques difficultés avec le site web.</t>
  </si>
  <si>
    <t>Développer la page d'aide pour la manette</t>
  </si>
  <si>
    <t>Début de développement de la page du dashboard</t>
  </si>
  <si>
    <t>Dans la journée, j’ai travaillé sur la page d’aide afin d’accompagner les utilisateurs qui ont des difficultés à comprendre comment déplacer le robot à l’aide des touches de la manette. J’ai ensuite commencé à développer la page du dashboard, permettant de se connecter à n’importe quel Phidget en renseignant son adresse IP et son port.</t>
  </si>
  <si>
    <t>Documentation sur les protocols de test.</t>
  </si>
  <si>
    <t>Développer la page dashboard.</t>
  </si>
  <si>
    <t>Réorganiser le frontend.</t>
  </si>
  <si>
    <t>Ce matin, j’ai commencé par développer la page du dashboard pour que l'utilisateur puisse se connecter au backend, puis vers le réseau Phidget. Dans l’après-midi, j’ai poursuivi la documentation sur les protocoles de test de chaque page. J'ai aussi réorganisé le frontend en changeant les noms et les dossiers pour garder une bonne structure. Globalement, j’ai trouvé que ça s'est bien passé aujourd'hui.</t>
  </si>
  <si>
    <t>Aujourd'hui, j'ai finalisé les protocoles de test. J'ai pris le temps d'optimiser la structure pour éliminer les redondances et simplifier la lecture. Le résultat est désormais plus condensé et efficace. Globalement, la journée a été productive.</t>
  </si>
  <si>
    <t>Tester l'application avec Luuk</t>
  </si>
  <si>
    <t>Fait la partie de "réalisation" dans la documentation</t>
  </si>
  <si>
    <t>En collaboration avec Luuk, j’ai procédé aux tests finaux de l’application afin de garantir la livraison d’un produit parfaitement fonctionnel. Parallèlement, j'ai achevé la rédaction de la section "Réalisation" de la documentation technique. Ce travail a consisté à répertorier et décrire précisément chaque tâche effectuée tout au long des différents sprints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</si>
</sst>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3"/>
  <sheetViews>
    <sheetView tabSelected="1" zoomScale="115" zoomScaleNormal="115" zoomScaleSheetLayoutView="115" workbookViewId="0">
      <pane ySplit="1" activePane="bottomLeft"/>
      <selection activeCell="D5" sqref="A5:XFD5"/>
      <selection pane="bottomLeft" activeCell="H11" sqref="H11"/>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34" t="s">
        <v>10</v>
      </c>
      <c r="B2" s="34"/>
      <c r="C2" s="35"/>
      <c r="D2" s="4">
        <v>2</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26">
        <v>45996</v>
      </c>
      <c r="B6" s="32" t="s">
        <v>8</v>
      </c>
      <c r="C6" s="33"/>
      <c r="D6" s="7">
        <v>3.5</v>
      </c>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24.95" customHeight="1" x14ac:dyDescent="0.2">
      <c r="A12" s="14"/>
      <c r="B12" s="19" t="s">
        <v>11</v>
      </c>
      <c r="C12" s="20"/>
      <c r="D12" s="21"/>
    </row>
    <row r="13" spans="1:4" ht="12.75" customHeight="1" x14ac:dyDescent="0.2">
      <c r="A13" s="13">
        <v>46003</v>
      </c>
      <c r="B13" s="37" t="s">
        <v>12</v>
      </c>
      <c r="C13" s="38"/>
      <c r="D13" s="7">
        <v>1</v>
      </c>
    </row>
    <row r="14" spans="1:4" x14ac:dyDescent="0.2">
      <c r="A14" s="14"/>
      <c r="B14" s="39" t="s">
        <v>13</v>
      </c>
      <c r="C14" s="40"/>
      <c r="D14" s="8">
        <v>2.5</v>
      </c>
    </row>
    <row r="15" spans="1:4" x14ac:dyDescent="0.2">
      <c r="A15" s="14"/>
      <c r="B15" s="39" t="s">
        <v>14</v>
      </c>
      <c r="C15" s="40"/>
      <c r="D15" s="8">
        <v>2.5</v>
      </c>
    </row>
    <row r="16" spans="1:4" x14ac:dyDescent="0.2">
      <c r="A16" s="14"/>
      <c r="B16" s="39" t="s">
        <v>15</v>
      </c>
      <c r="C16" s="40"/>
      <c r="D16" s="8">
        <v>1</v>
      </c>
    </row>
    <row r="17" spans="1:4" x14ac:dyDescent="0.2">
      <c r="A17" s="14"/>
      <c r="B17" s="17"/>
      <c r="C17" s="18"/>
      <c r="D17" s="8"/>
    </row>
    <row r="18" spans="1:4" x14ac:dyDescent="0.2">
      <c r="A18" s="14"/>
      <c r="B18" s="2" t="s">
        <v>6</v>
      </c>
      <c r="C18" s="3" t="s">
        <v>5</v>
      </c>
      <c r="D18" s="9">
        <f>SUM(D13:D17)</f>
        <v>7</v>
      </c>
    </row>
    <row r="19" spans="1:4" ht="87.75" customHeight="1" x14ac:dyDescent="0.2">
      <c r="A19" s="14"/>
      <c r="B19" s="19" t="s">
        <v>16</v>
      </c>
      <c r="C19" s="20"/>
      <c r="D19" s="21"/>
    </row>
    <row r="20" spans="1:4" ht="12.75" customHeight="1" x14ac:dyDescent="0.2">
      <c r="A20" s="13">
        <v>46009</v>
      </c>
      <c r="B20" s="15" t="s">
        <v>17</v>
      </c>
      <c r="C20" s="16"/>
      <c r="D20" s="7">
        <v>1.5</v>
      </c>
    </row>
    <row r="21" spans="1:4" x14ac:dyDescent="0.2">
      <c r="A21" s="14"/>
      <c r="B21" s="17" t="s">
        <v>18</v>
      </c>
      <c r="C21" s="18"/>
      <c r="D21" s="8">
        <v>0.5</v>
      </c>
    </row>
    <row r="22" spans="1:4" x14ac:dyDescent="0.2">
      <c r="A22" s="14"/>
      <c r="B22" s="17" t="s">
        <v>19</v>
      </c>
      <c r="C22" s="18"/>
      <c r="D22" s="8">
        <v>1.5</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60.75" customHeight="1" x14ac:dyDescent="0.2">
      <c r="A26" s="14"/>
      <c r="B26" s="19" t="s">
        <v>20</v>
      </c>
      <c r="C26" s="20"/>
      <c r="D26" s="21"/>
    </row>
    <row r="27" spans="1:4" ht="12.75" customHeight="1" x14ac:dyDescent="0.2">
      <c r="A27" s="13">
        <v>46010</v>
      </c>
      <c r="B27" s="15" t="s">
        <v>21</v>
      </c>
      <c r="C27" s="16"/>
      <c r="D27" s="7">
        <v>6</v>
      </c>
    </row>
    <row r="28" spans="1:4" x14ac:dyDescent="0.2">
      <c r="A28" s="14"/>
      <c r="B28" s="17" t="s">
        <v>22</v>
      </c>
      <c r="C28" s="18"/>
      <c r="D28" s="8">
        <v>1</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6</v>
      </c>
      <c r="C32" s="3" t="s">
        <v>5</v>
      </c>
      <c r="D32" s="9">
        <f>SUM(D27:D31)</f>
        <v>7</v>
      </c>
    </row>
    <row r="33" spans="1:4" ht="85.5" customHeight="1" x14ac:dyDescent="0.2">
      <c r="A33" s="25"/>
      <c r="B33" s="22" t="s">
        <v>23</v>
      </c>
      <c r="C33" s="23"/>
      <c r="D33" s="24"/>
    </row>
    <row r="34" spans="1:4" ht="12.75" customHeight="1" x14ac:dyDescent="0.2">
      <c r="A34" s="13">
        <v>46030</v>
      </c>
      <c r="B34" s="15" t="s">
        <v>24</v>
      </c>
      <c r="C34" s="16"/>
      <c r="D34" s="7">
        <v>2.5</v>
      </c>
    </row>
    <row r="35" spans="1:4" x14ac:dyDescent="0.2">
      <c r="A35" s="14"/>
      <c r="B35" s="17" t="s">
        <v>25</v>
      </c>
      <c r="C35" s="18"/>
      <c r="D35" s="8">
        <v>1</v>
      </c>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3.5</v>
      </c>
    </row>
    <row r="40" spans="1:4" ht="54.75" customHeight="1" x14ac:dyDescent="0.2">
      <c r="A40" s="25"/>
      <c r="B40" s="22" t="s">
        <v>26</v>
      </c>
      <c r="C40" s="23"/>
      <c r="D40" s="24"/>
    </row>
    <row r="41" spans="1:4" ht="12.75" customHeight="1" x14ac:dyDescent="0.2">
      <c r="A41" s="13">
        <v>46031</v>
      </c>
      <c r="B41" s="15" t="s">
        <v>28</v>
      </c>
      <c r="C41" s="16"/>
      <c r="D41" s="7">
        <v>3.5</v>
      </c>
    </row>
    <row r="42" spans="1:4" x14ac:dyDescent="0.2">
      <c r="A42" s="14"/>
      <c r="B42" s="17" t="s">
        <v>27</v>
      </c>
      <c r="C42" s="18"/>
      <c r="D42" s="8">
        <v>3</v>
      </c>
    </row>
    <row r="43" spans="1:4" x14ac:dyDescent="0.2">
      <c r="A43" s="14"/>
      <c r="B43" s="17" t="s">
        <v>29</v>
      </c>
      <c r="C43" s="18"/>
      <c r="D43" s="8">
        <v>0.5</v>
      </c>
    </row>
    <row r="44" spans="1:4" x14ac:dyDescent="0.2">
      <c r="A44" s="14"/>
      <c r="B44" s="17"/>
      <c r="C44" s="18"/>
      <c r="D44" s="8"/>
    </row>
    <row r="45" spans="1:4" x14ac:dyDescent="0.2">
      <c r="A45" s="14"/>
      <c r="B45" s="17"/>
      <c r="C45" s="18"/>
      <c r="D45" s="8"/>
    </row>
    <row r="46" spans="1:4" x14ac:dyDescent="0.2">
      <c r="A46" s="14"/>
      <c r="B46" s="2" t="s">
        <v>6</v>
      </c>
      <c r="C46" s="3" t="s">
        <v>5</v>
      </c>
      <c r="D46" s="9">
        <f>SUM(D41:D45)</f>
        <v>7</v>
      </c>
    </row>
    <row r="47" spans="1:4" ht="75" customHeight="1" x14ac:dyDescent="0.2">
      <c r="A47" s="25"/>
      <c r="B47" s="22" t="s">
        <v>30</v>
      </c>
      <c r="C47" s="23"/>
      <c r="D47" s="24"/>
    </row>
    <row r="48" spans="1:4" ht="12.75" customHeight="1" x14ac:dyDescent="0.2">
      <c r="A48" s="13">
        <v>46037</v>
      </c>
      <c r="B48" s="15" t="s">
        <v>27</v>
      </c>
      <c r="C48" s="16"/>
      <c r="D48" s="7">
        <v>3.5</v>
      </c>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3.5</v>
      </c>
    </row>
    <row r="54" spans="1:4" ht="47.25" customHeight="1" x14ac:dyDescent="0.2">
      <c r="A54" s="25"/>
      <c r="B54" s="22" t="s">
        <v>31</v>
      </c>
      <c r="C54" s="23"/>
      <c r="D54" s="24"/>
    </row>
    <row r="55" spans="1:4" ht="12.75" customHeight="1" x14ac:dyDescent="0.2">
      <c r="A55" s="13">
        <v>46038</v>
      </c>
      <c r="B55" s="15" t="s">
        <v>32</v>
      </c>
      <c r="C55" s="16"/>
      <c r="D55" s="7">
        <v>0.5</v>
      </c>
    </row>
    <row r="56" spans="1:4" x14ac:dyDescent="0.2">
      <c r="A56" s="14"/>
      <c r="B56" s="17" t="s">
        <v>33</v>
      </c>
      <c r="C56" s="18"/>
      <c r="D56" s="8">
        <v>3</v>
      </c>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3.5</v>
      </c>
    </row>
    <row r="61" spans="1:4" ht="45" customHeight="1" x14ac:dyDescent="0.2">
      <c r="A61" s="25"/>
      <c r="B61" s="22" t="s">
        <v>34</v>
      </c>
      <c r="C61" s="23"/>
      <c r="D61" s="24"/>
    </row>
    <row r="62" spans="1:4" ht="12.75" customHeight="1" x14ac:dyDescent="0.2">
      <c r="A62" s="11"/>
      <c r="B62" s="10"/>
      <c r="C62" s="3" t="s">
        <v>7</v>
      </c>
      <c r="D62" s="12">
        <f>D11+D18+D25+D32+D39+D46+D53+D60</f>
        <v>38.5</v>
      </c>
    </row>
    <row r="63" spans="1:4" x14ac:dyDescent="0.2">
      <c r="A63" s="36" t="s">
        <v>0</v>
      </c>
      <c r="B63" s="36"/>
      <c r="C63" s="36"/>
      <c r="D63" s="36"/>
    </row>
    <row r="68" ht="24.95" customHeight="1" x14ac:dyDescent="0.2"/>
    <row r="69" ht="12.75" customHeight="1" x14ac:dyDescent="0.2"/>
    <row r="75" ht="24.95" customHeight="1" x14ac:dyDescent="0.2"/>
    <row r="76" ht="12.75" customHeight="1" x14ac:dyDescent="0.2"/>
    <row r="82" ht="24.95" customHeight="1" x14ac:dyDescent="0.2"/>
    <row r="83" ht="12" customHeight="1" x14ac:dyDescent="0.2"/>
  </sheetData>
  <mergeCells count="61">
    <mergeCell ref="A63:D63"/>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
    <cfRule type="containsText" dxfId="1" priority="3" operator="containsText" text="Terminé">
      <formula>NOT(ISERROR(SEARCH("Terminé",D62)))</formula>
    </cfRule>
    <cfRule type="containsText" dxfId="0" priority="4" operator="containsText" text="En cours">
      <formula>NOT(ISERROR(SEARCH("En cours",D62)))</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62"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2026-01-16T10:16:24Z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